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anva\Downloads\Jan\02_Jan_WG\Maturarbeit\Maturaarbeit\Projektvereinbarung\"/>
    </mc:Choice>
  </mc:AlternateContent>
  <xr:revisionPtr revIDLastSave="0" documentId="13_ncr:1_{18D8B39C-9B65-4040-AECB-6683A6454630}" xr6:coauthVersionLast="47" xr6:coauthVersionMax="47" xr10:uidLastSave="{00000000-0000-0000-0000-000000000000}"/>
  <bookViews>
    <workbookView xWindow="-108" yWindow="-108" windowWidth="13176" windowHeight="22896" activeTab="1" xr2:uid="{9AA2B6F0-2D16-4C47-95AC-C094738B294F}"/>
  </bookViews>
  <sheets>
    <sheet name="Projektvereinbarung" sheetId="15" r:id="rId1"/>
    <sheet name="Konzept" sheetId="17" r:id="rId2"/>
    <sheet name="Notenblatt" sheetId="10" r:id="rId3"/>
    <sheet name="Einzelarbeit" sheetId="9" r:id="rId4"/>
    <sheet name="Gruppenarbeit" sheetId="12" r:id="rId5"/>
    <sheet name="Präsentation" sheetId="6" r:id="rId6"/>
    <sheet name="Poster_Präsentation" sheetId="7" r:id="rId7"/>
    <sheet name="Notentabellen" sheetId="14" state="hidden" r:id="rId8"/>
  </sheets>
  <externalReferences>
    <externalReference r:id="rId9"/>
  </externalReferences>
  <definedNames>
    <definedName name="_xlnm.Print_Titles" localSheetId="3">Einzelarbeit!$1:$2</definedName>
    <definedName name="_xlnm.Print_Titles" localSheetId="4">Gruppenarbeit!$1:$2</definedName>
    <definedName name="_xlnm.Print_Titles" localSheetId="1">Konzept!$1:$5</definedName>
    <definedName name="_xlnm.Print_Titles" localSheetId="2">Notenblatt!$1:$2</definedName>
    <definedName name="_xlnm.Print_Titles" localSheetId="6">Poster_Präsentation!$1:$2</definedName>
    <definedName name="_xlnm.Print_Titles" localSheetId="5">Präsentation!$1:$2</definedName>
    <definedName name="_xlnm.Print_Titles" localSheetId="0">Projektvereinbarung!$1:$9</definedName>
    <definedName name="OLE_LINK1" localSheetId="3">Einzelarbeit!$A$6</definedName>
    <definedName name="OLE_LINK1" localSheetId="4">Gruppenarbeit!$A$6</definedName>
    <definedName name="OLE_LINK1" localSheetId="1">Konzept!#REF!</definedName>
    <definedName name="OLE_LINK1" localSheetId="2">Notenblatt!$A$5</definedName>
    <definedName name="OLE_LINK1" localSheetId="6">Poster_Präsentation!$A$6</definedName>
    <definedName name="OLE_LINK1" localSheetId="5">Präsentation!$A$6</definedName>
    <definedName name="OLE_LINK1" localSheetId="0">Projektvereinbarung!$A$11</definedName>
    <definedName name="Poster_Präs." localSheetId="1">[1]Notentabellen!$G$3:$H$13</definedName>
    <definedName name="Poster_Präs.">Notentabellen!$G$3:$H$13</definedName>
    <definedName name="Präsentation" localSheetId="1">[1]Notentabellen!$D$3:$E$13</definedName>
    <definedName name="Präsentation">Notentabellen!$D$3:$E$13</definedName>
    <definedName name="Schriftlich" localSheetId="1">[1]Notentabellen!$A$3:$B$13</definedName>
    <definedName name="Schriftlich">Notentabellen!$A$3:$B$13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10" l="1"/>
  <c r="B6" i="17"/>
  <c r="B4" i="17"/>
  <c r="C3" i="7"/>
  <c r="C3" i="6"/>
  <c r="C3" i="12"/>
  <c r="C3" i="9"/>
  <c r="F24" i="12"/>
  <c r="D24" i="12"/>
  <c r="F11" i="12"/>
  <c r="D11" i="12"/>
  <c r="F24" i="9"/>
  <c r="F25" i="9"/>
  <c r="F33" i="9"/>
  <c r="D24" i="9"/>
  <c r="F11" i="9"/>
  <c r="D11" i="9"/>
  <c r="B3" i="10"/>
  <c r="B1" i="10"/>
  <c r="C12" i="10"/>
  <c r="C3" i="10"/>
  <c r="C5" i="10"/>
  <c r="E22" i="7"/>
  <c r="A3" i="7"/>
  <c r="C1" i="7"/>
  <c r="A3" i="6"/>
  <c r="C1" i="6"/>
  <c r="A3" i="12"/>
  <c r="C1" i="12"/>
  <c r="A3" i="9"/>
  <c r="C1" i="9"/>
  <c r="F33" i="12"/>
  <c r="D33" i="12"/>
  <c r="D25" i="12"/>
  <c r="F25" i="12"/>
  <c r="F34" i="12"/>
  <c r="D34" i="12"/>
  <c r="F32" i="9"/>
  <c r="D32" i="9"/>
  <c r="C14" i="10"/>
  <c r="E11" i="7"/>
  <c r="E11" i="6"/>
  <c r="C13" i="10"/>
  <c r="C15" i="10"/>
  <c r="D25" i="9"/>
  <c r="D33" i="9"/>
  <c r="C7" i="10"/>
  <c r="C6" i="10"/>
  <c r="C8" i="10"/>
  <c r="C10" i="10"/>
  <c r="C19" i="10"/>
</calcChain>
</file>

<file path=xl/sharedStrings.xml><?xml version="1.0" encoding="utf-8"?>
<sst xmlns="http://schemas.openxmlformats.org/spreadsheetml/2006/main" count="386" uniqueCount="180">
  <si>
    <t>Titel der Arbeit</t>
  </si>
  <si>
    <t>Einzelarbeit</t>
  </si>
  <si>
    <t>Teil 1</t>
  </si>
  <si>
    <t>Erreichte Punkte</t>
  </si>
  <si>
    <t>Summe Werk</t>
  </si>
  <si>
    <t>Summe Arbeitsprozess</t>
  </si>
  <si>
    <t>Note Teil 1</t>
  </si>
  <si>
    <t>Teil 2</t>
  </si>
  <si>
    <t>ohne Poster</t>
  </si>
  <si>
    <t>Summe Präsentation</t>
  </si>
  <si>
    <t>Summe Poster</t>
  </si>
  <si>
    <t>Summe Teil 2:
Präsentation, (Poster)</t>
  </si>
  <si>
    <t>Note Teil 2</t>
  </si>
  <si>
    <t>Gesamtnote Maturaarbeit</t>
  </si>
  <si>
    <t>Datum</t>
  </si>
  <si>
    <t>Vorname, Name (Betreuungsperson)                                Unterschrift</t>
  </si>
  <si>
    <t>Unterschrift</t>
  </si>
  <si>
    <t>Vorname, Name (Koreferent/-in)                                Unterschrift</t>
  </si>
  <si>
    <t>Abgabeformalitäten</t>
  </si>
  <si>
    <r>
      <t>PDF folgendermassen benennen: MA_WG_</t>
    </r>
    <r>
      <rPr>
        <i/>
        <sz val="10"/>
        <color theme="1"/>
        <rFont val="Arial"/>
        <family val="2"/>
      </rPr>
      <t>Abschlussjahr_Nachname_Vorname</t>
    </r>
    <r>
      <rPr>
        <sz val="10"/>
        <color theme="1"/>
        <rFont val="Arial"/>
        <family val="2"/>
      </rPr>
      <t>_Notenblatt</t>
    </r>
  </si>
  <si>
    <r>
      <t xml:space="preserve">PDF per Edubs-Mail ans Sekretariat: </t>
    </r>
    <r>
      <rPr>
        <i/>
        <sz val="10"/>
        <color theme="1"/>
        <rFont val="Arial"/>
        <family val="2"/>
      </rPr>
      <t>wginfo@edubs.ch</t>
    </r>
    <r>
      <rPr>
        <sz val="10"/>
        <color theme="1"/>
        <rFont val="Arial"/>
        <family val="2"/>
      </rPr>
      <t xml:space="preserve"> 
Cc des PDFs an Koreferenten senden</t>
    </r>
  </si>
  <si>
    <t>PDF bei der Endbesprechung an Schüler/-in abgeben</t>
  </si>
  <si>
    <t>Werk</t>
  </si>
  <si>
    <t>Kriterien</t>
  </si>
  <si>
    <t>Punkte</t>
  </si>
  <si>
    <t>Präzisierungen</t>
  </si>
  <si>
    <r>
      <t xml:space="preserve">Vereinbarte </t>
    </r>
    <r>
      <rPr>
        <b/>
        <sz val="11"/>
        <rFont val="Arial"/>
        <family val="2"/>
      </rPr>
      <t>Punkte</t>
    </r>
  </si>
  <si>
    <t>Kommentar</t>
  </si>
  <si>
    <r>
      <rPr>
        <b/>
        <sz val="10"/>
        <rFont val="Arial"/>
        <family val="2"/>
      </rPr>
      <t>Erreichte</t>
    </r>
    <r>
      <rPr>
        <b/>
        <sz val="11"/>
        <rFont val="Arial"/>
        <family val="2"/>
      </rPr>
      <t xml:space="preserve"> Punkte</t>
    </r>
  </si>
  <si>
    <t>Gestaltungsidee und Methodeneinsatz</t>
  </si>
  <si>
    <t>5 - 10</t>
  </si>
  <si>
    <t xml:space="preserve">Bewältigung des Themas </t>
  </si>
  <si>
    <t>5 - 15</t>
  </si>
  <si>
    <t>Sachliche Qualität</t>
  </si>
  <si>
    <t>Eigenständigkeit</t>
  </si>
  <si>
    <t>Darstellung</t>
  </si>
  <si>
    <r>
      <rPr>
        <b/>
        <sz val="9"/>
        <rFont val="Arial"/>
        <family val="2"/>
      </rPr>
      <t xml:space="preserve">Vereinbarte </t>
    </r>
    <r>
      <rPr>
        <b/>
        <sz val="11"/>
        <rFont val="Arial"/>
        <family val="2"/>
      </rPr>
      <t>Punkte</t>
    </r>
  </si>
  <si>
    <t>Inhalt</t>
  </si>
  <si>
    <t>1 - 5</t>
  </si>
  <si>
    <t>Nutzung von Wissen und Quellen</t>
  </si>
  <si>
    <t>4 - 8</t>
  </si>
  <si>
    <t>Form</t>
  </si>
  <si>
    <t>Sprache</t>
  </si>
  <si>
    <t>Zitate / Quellen / Verzeichnisse</t>
  </si>
  <si>
    <t>Arbeitsprozess</t>
  </si>
  <si>
    <t>Motivation</t>
  </si>
  <si>
    <t>Selbstständigkeit</t>
  </si>
  <si>
    <t>Vorgehensweise</t>
  </si>
  <si>
    <t>Zuverlässigkeit</t>
  </si>
  <si>
    <t>Vorname, Name (Schülerin / Schüler)                                Unterschrift</t>
  </si>
  <si>
    <t>Vorname, Name (Betreuungsperson)</t>
  </si>
  <si>
    <t>Vorname, Name (Koreferent/-in)</t>
  </si>
  <si>
    <r>
      <t>Datei folgendermassen benennen: MA_WG_</t>
    </r>
    <r>
      <rPr>
        <i/>
        <sz val="10"/>
        <color theme="1"/>
        <rFont val="Arial"/>
        <family val="2"/>
      </rPr>
      <t>Abschlussjahr_Nachname_Vorname_</t>
    </r>
    <r>
      <rPr>
        <sz val="10"/>
        <color theme="1"/>
        <rFont val="Arial"/>
        <family val="2"/>
      </rPr>
      <t>Präzisierungen</t>
    </r>
  </si>
  <si>
    <t>PDF bei der Besprechung an Schüler/-in abgeben</t>
  </si>
  <si>
    <t>Teamspezifische Aspekte bei Gruppenarbeiten</t>
  </si>
  <si>
    <t>Präsentation</t>
  </si>
  <si>
    <r>
      <rPr>
        <b/>
        <sz val="10"/>
        <rFont val="Arial"/>
        <family val="2"/>
      </rPr>
      <t>Gesetzte</t>
    </r>
    <r>
      <rPr>
        <b/>
        <sz val="11"/>
        <rFont val="Arial"/>
        <family val="2"/>
      </rPr>
      <t xml:space="preserve">
Punkte</t>
    </r>
  </si>
  <si>
    <t>Struktur</t>
  </si>
  <si>
    <t>Inhaltliche Sicherheit</t>
  </si>
  <si>
    <t>Medien und Hilfsmittel</t>
  </si>
  <si>
    <t>Interaktion</t>
  </si>
  <si>
    <t>Poster</t>
  </si>
  <si>
    <t>Fragestellung / Grundgedanke</t>
  </si>
  <si>
    <t>Arbeitsergebnis</t>
  </si>
  <si>
    <t>Interpretation</t>
  </si>
  <si>
    <t>Visualisierung</t>
  </si>
  <si>
    <t>Kreativität</t>
  </si>
  <si>
    <t>Layout</t>
  </si>
  <si>
    <t>Qualität</t>
  </si>
  <si>
    <t>Umrechnung: schriftliche Arbeit und Arbeitsprozess</t>
  </si>
  <si>
    <t>Umrechnung: mündliche Präsentation</t>
  </si>
  <si>
    <t>Umrechnung: Poster / mündliche Präsentation</t>
  </si>
  <si>
    <t>Note</t>
  </si>
  <si>
    <t>Gruppenarbeit</t>
  </si>
  <si>
    <t>mit Poster</t>
  </si>
  <si>
    <t xml:space="preserve">Präzisierungen und Bewertung für </t>
  </si>
  <si>
    <t>Abgabeformalitäten für die Präzisierungen</t>
  </si>
  <si>
    <t>Abgabeformalitäten für die Bewertung</t>
  </si>
  <si>
    <r>
      <t>Datei folgendermassen benennen: MA_WG_</t>
    </r>
    <r>
      <rPr>
        <i/>
        <sz val="10"/>
        <color theme="1"/>
        <rFont val="Arial"/>
        <family val="2"/>
      </rPr>
      <t>Abschlussjahr_Nachname_Vorname_Bewertung</t>
    </r>
  </si>
  <si>
    <r>
      <t xml:space="preserve">Nur die Register 'Notenblatt' und 'Einzelarbeit oder Gruppenarbeit' als PDF per Edubs-Mail ans Sekretariat: </t>
    </r>
    <r>
      <rPr>
        <i/>
        <sz val="10"/>
        <color theme="1"/>
        <rFont val="Arial"/>
        <family val="2"/>
      </rPr>
      <t>wginfo@edubs.ch</t>
    </r>
    <r>
      <rPr>
        <sz val="10"/>
        <color theme="1"/>
        <rFont val="Arial"/>
        <family val="2"/>
      </rPr>
      <t xml:space="preserve"> 
Cc des PDFs an Koreferenten senden</t>
    </r>
  </si>
  <si>
    <t>KEINE Kopie geht an den SuS</t>
  </si>
  <si>
    <t>Projektvereinbarung für eine Maturaarbeit am Wirtschaftsgymnasium</t>
  </si>
  <si>
    <t>zusammen mit</t>
  </si>
  <si>
    <t>KoreferentIn</t>
  </si>
  <si>
    <t>Vorname</t>
  </si>
  <si>
    <t>Name</t>
  </si>
  <si>
    <t>Ja</t>
  </si>
  <si>
    <t>Nein</t>
  </si>
  <si>
    <t>Schülerin / Schüler</t>
  </si>
  <si>
    <t>Betreuungsperson</t>
  </si>
  <si>
    <t>Klasse</t>
  </si>
  <si>
    <t>Telefonnummer</t>
  </si>
  <si>
    <t>E-Mailadresse</t>
  </si>
  <si>
    <t>Datum und Unterschriften</t>
  </si>
  <si>
    <t>Cc des PDFs an Schüler/-in und Betreuer/-in senden</t>
  </si>
  <si>
    <t xml:space="preserve">Es gelten folgende allgemeine Bestimmungen: </t>
  </si>
  <si>
    <t xml:space="preserve">1. Reglement für die Maturaarbeit an den Gymnasien im Kanton Basel-Stadt </t>
  </si>
  <si>
    <t xml:space="preserve">2. Leitfaden für die Maturaarbeit am Wirtschaftsgymnasium inkl. Terminplan </t>
  </si>
  <si>
    <t>Die Projektvereinbarung enthält folgende Teile:</t>
  </si>
  <si>
    <t xml:space="preserve">1. Konzept </t>
  </si>
  <si>
    <t>Konzept</t>
  </si>
  <si>
    <t>Typus der Arbeit</t>
  </si>
  <si>
    <t>(Untersuchung, kreative Produktion, technische Produktion, Organisation einer Veranstaltung)</t>
  </si>
  <si>
    <t>(Was bei meiner Arbeit herauskommen soll / Mein eigener Untersuchungsanteil)</t>
  </si>
  <si>
    <t>Zielsetzungen</t>
  </si>
  <si>
    <t>Fragestellung, Thesen, Projektidee</t>
  </si>
  <si>
    <t>(Fragen, die ich beantworten will / Meine Vermutungen und Thesen)</t>
  </si>
  <si>
    <t>Arbeitsmethoden</t>
  </si>
  <si>
    <t>(Mein Vorgehen)</t>
  </si>
  <si>
    <t>Eigenleistung</t>
  </si>
  <si>
    <t>Zeitplan</t>
  </si>
  <si>
    <r>
      <t xml:space="preserve">Gliederung der Arbeit </t>
    </r>
    <r>
      <rPr>
        <b/>
        <sz val="10"/>
        <rFont val="Arial"/>
        <family val="2"/>
      </rPr>
      <t>(Kapitel)</t>
    </r>
  </si>
  <si>
    <t xml:space="preserve">Präzisierungen und 
Bewertung für </t>
  </si>
  <si>
    <t>Summe schriftlicher Teil</t>
  </si>
  <si>
    <t>Summe Werk, schriftlicher Teil</t>
  </si>
  <si>
    <t>Summe Werk, schriftlicher Teil, Arbeitsprozess</t>
  </si>
  <si>
    <t>Summe Teil 1:
Werk, schriftlicher Teil, Arbeitsprozess</t>
  </si>
  <si>
    <t>2. Präzisierungen</t>
  </si>
  <si>
    <r>
      <t>PDF folgendermassen benennen: MA_WG_</t>
    </r>
    <r>
      <rPr>
        <i/>
        <sz val="10"/>
        <color theme="1"/>
        <rFont val="Arial"/>
        <family val="2"/>
      </rPr>
      <t>Abschlussjahr_Nachname_Vorname</t>
    </r>
    <r>
      <rPr>
        <sz val="10"/>
        <color theme="1"/>
        <rFont val="Arial"/>
        <family val="2"/>
      </rPr>
      <t>_Projektvereinbarung</t>
    </r>
  </si>
  <si>
    <r>
      <t>PDF folgendermassen benennen: MA_WG_</t>
    </r>
    <r>
      <rPr>
        <i/>
        <sz val="10"/>
        <color theme="1"/>
        <rFont val="Arial"/>
        <family val="2"/>
      </rPr>
      <t>Abschlussjahr_Nachname_Vorname</t>
    </r>
    <r>
      <rPr>
        <sz val="10"/>
        <color theme="1"/>
        <rFont val="Arial"/>
        <family val="2"/>
      </rPr>
      <t>_Konzept</t>
    </r>
  </si>
  <si>
    <t xml:space="preserve">PDF zusammen mit der Projektvereinbarung  und dem Präzisierungsformular per Edubs-Mail ans Sekretariat: wginfo@edubs.ch </t>
  </si>
  <si>
    <t xml:space="preserve">Notenblatt für </t>
  </si>
  <si>
    <r>
      <rPr>
        <sz val="10"/>
        <color theme="1"/>
        <rFont val="Symbol"/>
        <family val="1"/>
        <charset val="2"/>
      </rPr>
      <t>·</t>
    </r>
    <r>
      <rPr>
        <sz val="10"/>
        <color theme="1"/>
        <rFont val="Arial"/>
        <family val="2"/>
      </rPr>
      <t xml:space="preserve"> Initiative zu Beginn des Arbeitsprozesses
</t>
    </r>
    <r>
      <rPr>
        <sz val="10"/>
        <color theme="1"/>
        <rFont val="Symbol"/>
        <family val="1"/>
        <charset val="2"/>
      </rPr>
      <t>·</t>
    </r>
    <r>
      <rPr>
        <sz val="10"/>
        <color theme="1"/>
        <rFont val="Arial"/>
        <family val="2"/>
      </rPr>
      <t xml:space="preserve"> Konzentration im Arbeitsprozess
</t>
    </r>
    <r>
      <rPr>
        <sz val="10"/>
        <color theme="1"/>
        <rFont val="Symbol"/>
        <family val="1"/>
        <charset val="2"/>
      </rPr>
      <t>·</t>
    </r>
    <r>
      <rPr>
        <sz val="10"/>
        <color theme="1"/>
        <rFont val="Arial"/>
        <family val="2"/>
      </rPr>
      <t xml:space="preserve"> Zeitaufwand
</t>
    </r>
    <r>
      <rPr>
        <sz val="10"/>
        <color theme="1"/>
        <rFont val="Symbol"/>
        <family val="1"/>
        <charset val="2"/>
      </rPr>
      <t>·</t>
    </r>
    <r>
      <rPr>
        <sz val="10"/>
        <color theme="1"/>
        <rFont val="Arial"/>
        <family val="2"/>
      </rPr>
      <t xml:space="preserve"> Überwindung von Schwierigkeiten und Misserfolgen</t>
    </r>
  </si>
  <si>
    <r>
      <rPr>
        <sz val="10"/>
        <color theme="1"/>
        <rFont val="Symbol"/>
        <family val="1"/>
        <charset val="2"/>
      </rPr>
      <t>·</t>
    </r>
    <r>
      <rPr>
        <sz val="10"/>
        <color theme="1"/>
        <rFont val="Arial"/>
        <family val="2"/>
      </rPr>
      <t xml:space="preserve"> Eingrenzung der ersten kreativen Idee 
</t>
    </r>
    <r>
      <rPr>
        <sz val="10"/>
        <color theme="1"/>
        <rFont val="Symbol"/>
        <family val="1"/>
        <charset val="2"/>
      </rPr>
      <t xml:space="preserve">· </t>
    </r>
    <r>
      <rPr>
        <sz val="10"/>
        <color theme="1"/>
        <rFont val="Arial"/>
        <family val="2"/>
      </rPr>
      <t xml:space="preserve">Selbstständigkeit in der Planungsphase 
</t>
    </r>
    <r>
      <rPr>
        <sz val="10"/>
        <color theme="1"/>
        <rFont val="Symbol"/>
        <family val="1"/>
        <charset val="2"/>
      </rPr>
      <t>·</t>
    </r>
    <r>
      <rPr>
        <sz val="10"/>
        <color theme="1"/>
        <rFont val="Arial"/>
        <family val="2"/>
      </rPr>
      <t xml:space="preserve"> Selbstständigkeit in der Durchführungsphase
</t>
    </r>
    <r>
      <rPr>
        <sz val="10"/>
        <color theme="1"/>
        <rFont val="Symbol"/>
        <family val="1"/>
        <charset val="2"/>
      </rPr>
      <t>·</t>
    </r>
    <r>
      <rPr>
        <sz val="10"/>
        <color theme="1"/>
        <rFont val="Arial"/>
        <family val="2"/>
      </rPr>
      <t xml:space="preserve"> Verarbeitung von Impulsen der Betreuungsperson 
</t>
    </r>
    <r>
      <rPr>
        <sz val="10"/>
        <color theme="1"/>
        <rFont val="Symbol"/>
        <family val="1"/>
        <charset val="2"/>
      </rPr>
      <t>·</t>
    </r>
    <r>
      <rPr>
        <sz val="10"/>
        <color theme="1"/>
        <rFont val="Arial"/>
        <family val="2"/>
      </rPr>
      <t xml:space="preserve"> Erkennen der eigenen Grenzen 
</t>
    </r>
    <r>
      <rPr>
        <sz val="10"/>
        <color theme="1"/>
        <rFont val="Symbol"/>
        <family val="1"/>
        <charset val="2"/>
      </rPr>
      <t xml:space="preserve">· </t>
    </r>
    <r>
      <rPr>
        <sz val="10"/>
        <color theme="1"/>
        <rFont val="Arial"/>
        <family val="2"/>
      </rPr>
      <t xml:space="preserve">Hilfe holen bei Notwendigkeit
</t>
    </r>
    <r>
      <rPr>
        <sz val="10"/>
        <color theme="1"/>
        <rFont val="Symbol"/>
        <family val="1"/>
        <charset val="2"/>
      </rPr>
      <t xml:space="preserve">· </t>
    </r>
    <r>
      <rPr>
        <sz val="10"/>
        <color theme="1"/>
        <rFont val="Arial"/>
        <family val="2"/>
      </rPr>
      <t xml:space="preserve">Fortschritte bezüglich der Technik
</t>
    </r>
    <r>
      <rPr>
        <sz val="10"/>
        <color theme="1"/>
        <rFont val="Symbol"/>
        <family val="1"/>
        <charset val="2"/>
      </rPr>
      <t xml:space="preserve">· </t>
    </r>
    <r>
      <rPr>
        <sz val="10"/>
        <color theme="1"/>
        <rFont val="Arial"/>
        <family val="2"/>
      </rPr>
      <t xml:space="preserve">Reflexion des Arbeitsprozesses
</t>
    </r>
    <r>
      <rPr>
        <sz val="10"/>
        <color theme="1"/>
        <rFont val="Symbol"/>
        <family val="1"/>
        <charset val="2"/>
      </rPr>
      <t>·</t>
    </r>
    <r>
      <rPr>
        <sz val="10"/>
        <color theme="1"/>
        <rFont val="Arial"/>
        <family val="2"/>
      </rPr>
      <t xml:space="preserve"> Entwicklung der inhaltlichen und künstlerischen Absicht</t>
    </r>
  </si>
  <si>
    <r>
      <rPr>
        <sz val="10"/>
        <color theme="1"/>
        <rFont val="Symbol"/>
        <family val="1"/>
        <charset val="2"/>
      </rPr>
      <t>·</t>
    </r>
    <r>
      <rPr>
        <sz val="10"/>
        <color theme="1"/>
        <rFont val="Arial"/>
        <family val="2"/>
      </rPr>
      <t xml:space="preserve"> Erwerben des notwendigen Wissens
</t>
    </r>
    <r>
      <rPr>
        <sz val="10"/>
        <color theme="1"/>
        <rFont val="Symbol"/>
        <family val="1"/>
        <charset val="2"/>
      </rPr>
      <t>·</t>
    </r>
    <r>
      <rPr>
        <sz val="10"/>
        <color theme="1"/>
        <rFont val="Arial"/>
        <family val="2"/>
      </rPr>
      <t xml:space="preserve"> Entwicklung einer machbaren Fragestellung 
</t>
    </r>
    <r>
      <rPr>
        <sz val="10"/>
        <color theme="1"/>
        <rFont val="Symbol"/>
        <family val="1"/>
        <charset val="2"/>
      </rPr>
      <t xml:space="preserve">· </t>
    </r>
    <r>
      <rPr>
        <sz val="10"/>
        <color theme="1"/>
        <rFont val="Arial"/>
        <family val="2"/>
      </rPr>
      <t xml:space="preserve">Methodenwahl
</t>
    </r>
    <r>
      <rPr>
        <sz val="10"/>
        <color theme="1"/>
        <rFont val="Symbol"/>
        <family val="1"/>
        <charset val="2"/>
      </rPr>
      <t>·</t>
    </r>
    <r>
      <rPr>
        <sz val="10"/>
        <color theme="1"/>
        <rFont val="Arial"/>
        <family val="2"/>
      </rPr>
      <t xml:space="preserve"> Überprüfung / Anpassung des Vorgehens bzw. Verfahrens
</t>
    </r>
    <r>
      <rPr>
        <sz val="10"/>
        <color theme="1"/>
        <rFont val="Symbol"/>
        <family val="1"/>
        <charset val="2"/>
      </rPr>
      <t>·</t>
    </r>
    <r>
      <rPr>
        <sz val="10"/>
        <color theme="1"/>
        <rFont val="Arial"/>
        <family val="2"/>
      </rPr>
      <t xml:space="preserve"> Anwendung eines Arbeits- und Zeitplans
</t>
    </r>
    <r>
      <rPr>
        <sz val="10"/>
        <color theme="1"/>
        <rFont val="Symbol"/>
        <family val="1"/>
        <charset val="2"/>
      </rPr>
      <t>·</t>
    </r>
    <r>
      <rPr>
        <sz val="10"/>
        <color theme="1"/>
        <rFont val="Arial"/>
        <family val="2"/>
      </rPr>
      <t xml:space="preserve"> Anpassung des Arbeits-/Zeitplans an den Verlauf
</t>
    </r>
    <r>
      <rPr>
        <sz val="10"/>
        <color theme="1"/>
        <rFont val="Symbol"/>
        <family val="1"/>
        <charset val="2"/>
      </rPr>
      <t>·</t>
    </r>
    <r>
      <rPr>
        <sz val="10"/>
        <color theme="1"/>
        <rFont val="Arial"/>
        <family val="2"/>
      </rPr>
      <t xml:space="preserve"> Dokumentation der Zwischenergebnisse und des Prozesses
</t>
    </r>
    <r>
      <rPr>
        <sz val="10"/>
        <color theme="1"/>
        <rFont val="Symbol"/>
        <family val="1"/>
        <charset val="2"/>
      </rPr>
      <t>·</t>
    </r>
    <r>
      <rPr>
        <sz val="10"/>
        <color theme="1"/>
        <rFont val="Arial"/>
        <family val="2"/>
      </rPr>
      <t xml:space="preserve"> Verständlichkeit von Konzepten und Ideenskizzen
</t>
    </r>
    <r>
      <rPr>
        <sz val="10"/>
        <color theme="1"/>
        <rFont val="Symbol"/>
        <family val="1"/>
        <charset val="2"/>
      </rPr>
      <t>·</t>
    </r>
    <r>
      <rPr>
        <sz val="10"/>
        <color theme="1"/>
        <rFont val="Arial"/>
        <family val="2"/>
      </rPr>
      <t xml:space="preserve"> Qualität der Entwürfe
</t>
    </r>
    <r>
      <rPr>
        <sz val="10"/>
        <color theme="1"/>
        <rFont val="Symbol"/>
        <family val="1"/>
        <charset val="2"/>
      </rPr>
      <t>·</t>
    </r>
    <r>
      <rPr>
        <sz val="10"/>
        <color theme="1"/>
        <rFont val="Arial"/>
        <family val="2"/>
      </rPr>
      <t xml:space="preserve"> Angemessene Planungsunterlagen
</t>
    </r>
    <r>
      <rPr>
        <sz val="10"/>
        <color theme="1"/>
        <rFont val="Symbol"/>
        <family val="1"/>
        <charset val="2"/>
      </rPr>
      <t>·</t>
    </r>
    <r>
      <rPr>
        <sz val="10"/>
        <color theme="1"/>
        <rFont val="Arial"/>
        <family val="2"/>
      </rPr>
      <t xml:space="preserve"> Sinnvolle Nutzung der Ressourcen</t>
    </r>
  </si>
  <si>
    <r>
      <rPr>
        <sz val="10"/>
        <color theme="1"/>
        <rFont val="Symbol"/>
        <family val="1"/>
        <charset val="2"/>
      </rPr>
      <t>·</t>
    </r>
    <r>
      <rPr>
        <sz val="10"/>
        <color theme="1"/>
        <rFont val="Arial"/>
        <family val="2"/>
      </rPr>
      <t xml:space="preserve"> Einhaltung von Vereinbarungen
</t>
    </r>
    <r>
      <rPr>
        <sz val="10"/>
        <color theme="1"/>
        <rFont val="Symbol"/>
        <family val="1"/>
        <charset val="2"/>
      </rPr>
      <t>·</t>
    </r>
    <r>
      <rPr>
        <sz val="10"/>
        <color theme="1"/>
        <rFont val="Arial"/>
        <family val="2"/>
      </rPr>
      <t xml:space="preserve"> Einhaltung von Terminen/Zeitplan</t>
    </r>
  </si>
  <si>
    <r>
      <rPr>
        <sz val="10"/>
        <color theme="1"/>
        <rFont val="Symbol"/>
        <family val="1"/>
        <charset val="2"/>
      </rPr>
      <t>·</t>
    </r>
    <r>
      <rPr>
        <sz val="10"/>
        <color theme="1"/>
        <rFont val="Arial"/>
        <family val="2"/>
      </rPr>
      <t xml:space="preserve"> Gliederung
</t>
    </r>
    <r>
      <rPr>
        <sz val="10"/>
        <color theme="1"/>
        <rFont val="Symbol"/>
        <family val="1"/>
        <charset val="2"/>
      </rPr>
      <t>·</t>
    </r>
    <r>
      <rPr>
        <sz val="10"/>
        <color theme="1"/>
        <rFont val="Arial"/>
        <family val="2"/>
      </rPr>
      <t xml:space="preserve"> Länge der Einzelteile
</t>
    </r>
    <r>
      <rPr>
        <sz val="10"/>
        <color theme="1"/>
        <rFont val="Symbol"/>
        <family val="1"/>
        <charset val="2"/>
      </rPr>
      <t xml:space="preserve">· </t>
    </r>
    <r>
      <rPr>
        <sz val="10"/>
        <color theme="1"/>
        <rFont val="Arial"/>
        <family val="2"/>
      </rPr>
      <t xml:space="preserve">Umfangvorgaben eingehalten
</t>
    </r>
    <r>
      <rPr>
        <sz val="10"/>
        <color theme="1"/>
        <rFont val="Symbol"/>
        <family val="1"/>
        <charset val="2"/>
      </rPr>
      <t>·</t>
    </r>
    <r>
      <rPr>
        <sz val="10"/>
        <color theme="1"/>
        <rFont val="Arial"/>
        <family val="2"/>
      </rPr>
      <t xml:space="preserve"> Layout
</t>
    </r>
    <r>
      <rPr>
        <sz val="10"/>
        <color theme="1"/>
        <rFont val="Symbol"/>
        <family val="1"/>
        <charset val="2"/>
      </rPr>
      <t>·</t>
    </r>
    <r>
      <rPr>
        <sz val="10"/>
        <color theme="1"/>
        <rFont val="Arial"/>
        <family val="2"/>
      </rPr>
      <t xml:space="preserve"> Wahl der Abbildungen und Tabellen
</t>
    </r>
    <r>
      <rPr>
        <sz val="10"/>
        <color theme="1"/>
        <rFont val="Symbol"/>
        <family val="1"/>
        <charset val="2"/>
      </rPr>
      <t>·</t>
    </r>
    <r>
      <rPr>
        <sz val="10"/>
        <color theme="1"/>
        <rFont val="Arial"/>
        <family val="2"/>
      </rPr>
      <t xml:space="preserve"> Zweckmässigkeit der Abbildungen und Tabellen
</t>
    </r>
    <r>
      <rPr>
        <sz val="10"/>
        <color theme="1"/>
        <rFont val="Symbol"/>
        <family val="1"/>
        <charset val="2"/>
      </rPr>
      <t>·</t>
    </r>
    <r>
      <rPr>
        <sz val="10"/>
        <color theme="1"/>
        <rFont val="Arial"/>
        <family val="2"/>
      </rPr>
      <t xml:space="preserve"> Qualität der Abbildungen und Tabellen
</t>
    </r>
    <r>
      <rPr>
        <sz val="10"/>
        <color theme="1"/>
        <rFont val="Symbol"/>
        <family val="1"/>
        <charset val="2"/>
      </rPr>
      <t>·</t>
    </r>
    <r>
      <rPr>
        <sz val="10"/>
        <color theme="1"/>
        <rFont val="Arial"/>
        <family val="2"/>
      </rPr>
      <t xml:space="preserve"> ...</t>
    </r>
  </si>
  <si>
    <r>
      <rPr>
        <sz val="10"/>
        <color theme="1"/>
        <rFont val="Symbol"/>
        <family val="1"/>
        <charset val="2"/>
      </rPr>
      <t>·</t>
    </r>
    <r>
      <rPr>
        <sz val="10"/>
        <color theme="1"/>
        <rFont val="Arial"/>
        <family val="2"/>
      </rPr>
      <t xml:space="preserve"> Sprachlicher Ausdruck
</t>
    </r>
    <r>
      <rPr>
        <sz val="10"/>
        <color theme="1"/>
        <rFont val="Symbol"/>
        <family val="1"/>
        <charset val="2"/>
      </rPr>
      <t>·</t>
    </r>
    <r>
      <rPr>
        <sz val="10"/>
        <color theme="1"/>
        <rFont val="Arial"/>
        <family val="2"/>
      </rPr>
      <t xml:space="preserve"> Verständlichkeit und Lesbarkeit
</t>
    </r>
    <r>
      <rPr>
        <sz val="10"/>
        <color theme="1"/>
        <rFont val="Symbol"/>
        <family val="1"/>
        <charset val="2"/>
      </rPr>
      <t>·</t>
    </r>
    <r>
      <rPr>
        <sz val="10"/>
        <color theme="1"/>
        <rFont val="Arial"/>
        <family val="2"/>
      </rPr>
      <t xml:space="preserve"> Grammatik und Satzbau
</t>
    </r>
    <r>
      <rPr>
        <sz val="10"/>
        <color theme="1"/>
        <rFont val="Symbol"/>
        <family val="1"/>
        <charset val="2"/>
      </rPr>
      <t>·</t>
    </r>
    <r>
      <rPr>
        <sz val="10"/>
        <color theme="1"/>
        <rFont val="Arial"/>
        <family val="2"/>
      </rPr>
      <t xml:space="preserve"> Orthografie und Interpunktion
</t>
    </r>
    <r>
      <rPr>
        <sz val="10"/>
        <color theme="1"/>
        <rFont val="Symbol"/>
        <family val="1"/>
        <charset val="2"/>
      </rPr>
      <t>·</t>
    </r>
    <r>
      <rPr>
        <sz val="10"/>
        <color theme="1"/>
        <rFont val="Arial"/>
        <family val="2"/>
      </rPr>
      <t xml:space="preserve"> Umgang mit Schlüsselbegriffen
</t>
    </r>
    <r>
      <rPr>
        <sz val="10"/>
        <color theme="1"/>
        <rFont val="Symbol"/>
        <family val="1"/>
        <charset val="2"/>
      </rPr>
      <t>·</t>
    </r>
    <r>
      <rPr>
        <sz val="10"/>
        <color theme="1"/>
        <rFont val="Arial"/>
        <family val="2"/>
      </rPr>
      <t xml:space="preserve"> …</t>
    </r>
  </si>
  <si>
    <r>
      <rPr>
        <sz val="10"/>
        <color theme="1"/>
        <rFont val="Symbol"/>
        <family val="1"/>
        <charset val="2"/>
      </rPr>
      <t>·</t>
    </r>
    <r>
      <rPr>
        <sz val="10"/>
        <color theme="1"/>
        <rFont val="Arial"/>
        <family val="2"/>
      </rPr>
      <t xml:space="preserve"> Vorgehen nach Arbeits- und Zeitplan
</t>
    </r>
    <r>
      <rPr>
        <sz val="10"/>
        <color theme="1"/>
        <rFont val="Symbol"/>
        <family val="1"/>
        <charset val="2"/>
      </rPr>
      <t>·</t>
    </r>
    <r>
      <rPr>
        <sz val="10"/>
        <color theme="1"/>
        <rFont val="Arial"/>
        <family val="2"/>
      </rPr>
      <t xml:space="preserve"> Sinnvolle Arbeitsorganisation im Team
</t>
    </r>
    <r>
      <rPr>
        <sz val="10"/>
        <color theme="1"/>
        <rFont val="Symbol"/>
        <family val="1"/>
        <charset val="2"/>
      </rPr>
      <t>·</t>
    </r>
    <r>
      <rPr>
        <sz val="10"/>
        <color theme="1"/>
        <rFont val="Arial"/>
        <family val="2"/>
      </rPr>
      <t xml:space="preserve"> Ausgewogene Anteile beider Teammitglieder
</t>
    </r>
    <r>
      <rPr>
        <sz val="10"/>
        <color theme="1"/>
        <rFont val="Symbol"/>
        <family val="1"/>
        <charset val="2"/>
      </rPr>
      <t>·</t>
    </r>
    <r>
      <rPr>
        <sz val="10"/>
        <color theme="1"/>
        <rFont val="Arial"/>
        <family val="2"/>
      </rPr>
      <t xml:space="preserve"> Geklärte Verantwortlichkeit im Team
</t>
    </r>
    <r>
      <rPr>
        <sz val="10"/>
        <color theme="1"/>
        <rFont val="Symbol"/>
        <family val="1"/>
        <charset val="2"/>
      </rPr>
      <t>·</t>
    </r>
    <r>
      <rPr>
        <sz val="10"/>
        <color theme="1"/>
        <rFont val="Arial"/>
        <family val="2"/>
      </rPr>
      <t xml:space="preserve"> Effizienz der Besprechungen
</t>
    </r>
    <r>
      <rPr>
        <sz val="10"/>
        <color theme="1"/>
        <rFont val="Symbol"/>
        <family val="1"/>
        <charset val="2"/>
      </rPr>
      <t>·</t>
    </r>
    <r>
      <rPr>
        <sz val="10"/>
        <color theme="1"/>
        <rFont val="Arial"/>
        <family val="2"/>
      </rPr>
      <t xml:space="preserve"> Bearbeitung von Konflikten</t>
    </r>
  </si>
  <si>
    <r>
      <rPr>
        <sz val="10"/>
        <color theme="1"/>
        <rFont val="Symbol"/>
        <family val="1"/>
        <charset val="2"/>
      </rPr>
      <t xml:space="preserve">· </t>
    </r>
    <r>
      <rPr>
        <sz val="10"/>
        <color theme="1"/>
        <rFont val="Arial"/>
        <family val="1"/>
        <charset val="2"/>
      </rPr>
      <t xml:space="preserve">Gliederung
</t>
    </r>
    <r>
      <rPr>
        <sz val="10"/>
        <color theme="1"/>
        <rFont val="Symbol"/>
        <family val="1"/>
        <charset val="2"/>
      </rPr>
      <t>·</t>
    </r>
    <r>
      <rPr>
        <sz val="10"/>
        <color theme="1"/>
        <rFont val="Arial"/>
        <family val="1"/>
        <charset val="2"/>
      </rPr>
      <t xml:space="preserve"> Rhythmisierung
</t>
    </r>
    <r>
      <rPr>
        <sz val="10"/>
        <color theme="1"/>
        <rFont val="Symbol"/>
        <family val="1"/>
        <charset val="2"/>
      </rPr>
      <t>·</t>
    </r>
    <r>
      <rPr>
        <sz val="10"/>
        <color theme="1"/>
        <rFont val="Arial"/>
        <family val="1"/>
        <charset val="2"/>
      </rPr>
      <t xml:space="preserve"> Wissensaufbau</t>
    </r>
  </si>
  <si>
    <r>
      <rPr>
        <sz val="10"/>
        <color theme="1"/>
        <rFont val="Symbol"/>
        <family val="1"/>
        <charset val="2"/>
      </rPr>
      <t>·</t>
    </r>
    <r>
      <rPr>
        <sz val="10"/>
        <color theme="1"/>
        <rFont val="Arial"/>
        <family val="1"/>
        <charset val="2"/>
      </rPr>
      <t xml:space="preserve"> Auswahl des Inhalts
</t>
    </r>
    <r>
      <rPr>
        <sz val="10"/>
        <color theme="1"/>
        <rFont val="Symbol"/>
        <family val="1"/>
        <charset val="2"/>
      </rPr>
      <t>·</t>
    </r>
    <r>
      <rPr>
        <sz val="10"/>
        <color theme="1"/>
        <rFont val="Arial"/>
        <family val="1"/>
        <charset val="2"/>
      </rPr>
      <t xml:space="preserve"> </t>
    </r>
    <r>
      <rPr>
        <sz val="10"/>
        <color theme="1"/>
        <rFont val="Arial"/>
        <family val="2"/>
      </rPr>
      <t>Neuer Aspekt</t>
    </r>
    <r>
      <rPr>
        <sz val="10"/>
        <color theme="1"/>
        <rFont val="Arial"/>
        <family val="1"/>
        <charset val="2"/>
      </rPr>
      <t xml:space="preserve">
</t>
    </r>
    <r>
      <rPr>
        <sz val="10"/>
        <color theme="1"/>
        <rFont val="Symbol"/>
        <family val="1"/>
        <charset val="2"/>
      </rPr>
      <t>·</t>
    </r>
    <r>
      <rPr>
        <sz val="10"/>
        <color theme="1"/>
        <rFont val="Arial"/>
        <family val="1"/>
        <charset val="2"/>
      </rPr>
      <t xml:space="preserve"> Darlegung der persönlichen Erkenntnisse und Erfahrungen
</t>
    </r>
    <r>
      <rPr>
        <sz val="10"/>
        <color theme="1"/>
        <rFont val="Symbol"/>
        <family val="1"/>
        <charset val="2"/>
      </rPr>
      <t>·</t>
    </r>
    <r>
      <rPr>
        <sz val="10"/>
        <color theme="1"/>
        <rFont val="Arial"/>
        <family val="1"/>
        <charset val="2"/>
      </rPr>
      <t xml:space="preserve"> Beantwortung der Fragen</t>
    </r>
  </si>
  <si>
    <r>
      <rPr>
        <sz val="10"/>
        <color theme="1"/>
        <rFont val="Symbol"/>
        <family val="1"/>
        <charset val="2"/>
      </rPr>
      <t>·</t>
    </r>
    <r>
      <rPr>
        <sz val="10"/>
        <color theme="1"/>
        <rFont val="Arial"/>
        <family val="1"/>
        <charset val="2"/>
      </rPr>
      <t xml:space="preserve"> </t>
    </r>
    <r>
      <rPr>
        <sz val="10"/>
        <color theme="1"/>
        <rFont val="Arial"/>
        <family val="2"/>
      </rPr>
      <t>Verständlichkeit</t>
    </r>
    <r>
      <rPr>
        <sz val="10"/>
        <color theme="1"/>
        <rFont val="Arial"/>
        <family val="1"/>
        <charset val="2"/>
      </rPr>
      <t xml:space="preserve">
</t>
    </r>
    <r>
      <rPr>
        <sz val="10"/>
        <color theme="1"/>
        <rFont val="Symbol"/>
        <family val="1"/>
        <charset val="2"/>
      </rPr>
      <t>·</t>
    </r>
    <r>
      <rPr>
        <sz val="10"/>
        <color theme="1"/>
        <rFont val="Arial"/>
        <family val="1"/>
        <charset val="2"/>
      </rPr>
      <t xml:space="preserve"> Korrektheit
</t>
    </r>
    <r>
      <rPr>
        <sz val="10"/>
        <color theme="1"/>
        <rFont val="Symbol"/>
        <family val="1"/>
        <charset val="2"/>
      </rPr>
      <t>·</t>
    </r>
    <r>
      <rPr>
        <sz val="10"/>
        <color theme="1"/>
        <rFont val="Arial"/>
        <family val="1"/>
        <charset val="2"/>
      </rPr>
      <t xml:space="preserve"> </t>
    </r>
    <r>
      <rPr>
        <sz val="10"/>
        <color theme="1"/>
        <rFont val="Arial"/>
        <family val="2"/>
      </rPr>
      <t xml:space="preserve">Sprachfluss
</t>
    </r>
    <r>
      <rPr>
        <sz val="10"/>
        <color theme="1"/>
        <rFont val="Symbol"/>
        <family val="1"/>
        <charset val="2"/>
      </rPr>
      <t xml:space="preserve">· </t>
    </r>
    <r>
      <rPr>
        <sz val="10"/>
        <color theme="1"/>
        <rFont val="Arial"/>
        <family val="2"/>
      </rPr>
      <t>Lautstärke und Tempo</t>
    </r>
  </si>
  <si>
    <r>
      <rPr>
        <sz val="10"/>
        <color theme="1"/>
        <rFont val="Symbol"/>
        <family val="1"/>
        <charset val="2"/>
      </rPr>
      <t>·</t>
    </r>
    <r>
      <rPr>
        <sz val="10"/>
        <color theme="1"/>
        <rFont val="Arial"/>
        <family val="1"/>
        <charset val="2"/>
      </rPr>
      <t xml:space="preserve"> </t>
    </r>
    <r>
      <rPr>
        <sz val="10"/>
        <color theme="1"/>
        <rFont val="Arial"/>
        <family val="2"/>
      </rPr>
      <t xml:space="preserve">Medienwahl </t>
    </r>
    <r>
      <rPr>
        <sz val="10"/>
        <color theme="1"/>
        <rFont val="Arial"/>
        <family val="1"/>
        <charset val="2"/>
      </rPr>
      <t xml:space="preserve">
</t>
    </r>
    <r>
      <rPr>
        <sz val="10"/>
        <color theme="1"/>
        <rFont val="Symbol"/>
        <family val="1"/>
        <charset val="2"/>
      </rPr>
      <t>·</t>
    </r>
    <r>
      <rPr>
        <sz val="10"/>
        <color theme="1"/>
        <rFont val="Arial"/>
        <family val="1"/>
        <charset val="2"/>
      </rPr>
      <t xml:space="preserve"> </t>
    </r>
    <r>
      <rPr>
        <sz val="10"/>
        <color theme="1"/>
        <rFont val="Arial"/>
        <family val="2"/>
      </rPr>
      <t xml:space="preserve">Umgang mit Medien und technischen Hilfsmitteln </t>
    </r>
  </si>
  <si>
    <r>
      <rPr>
        <sz val="10"/>
        <color theme="1"/>
        <rFont val="Symbol"/>
        <family val="1"/>
        <charset val="2"/>
      </rPr>
      <t>·</t>
    </r>
    <r>
      <rPr>
        <sz val="10"/>
        <color theme="1"/>
        <rFont val="Arial"/>
        <family val="1"/>
        <charset val="2"/>
      </rPr>
      <t xml:space="preserve"> Auftreten
</t>
    </r>
    <r>
      <rPr>
        <sz val="10"/>
        <color theme="1"/>
        <rFont val="Symbol"/>
        <family val="1"/>
        <charset val="2"/>
      </rPr>
      <t>·</t>
    </r>
    <r>
      <rPr>
        <sz val="10"/>
        <color theme="1"/>
        <rFont val="Arial"/>
        <family val="1"/>
        <charset val="2"/>
      </rPr>
      <t xml:space="preserve"> Freie Rede
</t>
    </r>
    <r>
      <rPr>
        <sz val="10"/>
        <color theme="1"/>
        <rFont val="Symbol"/>
        <family val="1"/>
        <charset val="2"/>
      </rPr>
      <t>·</t>
    </r>
    <r>
      <rPr>
        <sz val="10"/>
        <color theme="1"/>
        <rFont val="Arial"/>
        <family val="1"/>
        <charset val="2"/>
      </rPr>
      <t xml:space="preserve"> Interesse wecken
</t>
    </r>
    <r>
      <rPr>
        <sz val="10"/>
        <color theme="1"/>
        <rFont val="Symbol"/>
        <family val="1"/>
        <charset val="2"/>
      </rPr>
      <t>·</t>
    </r>
    <r>
      <rPr>
        <sz val="10"/>
        <color theme="1"/>
        <rFont val="Arial"/>
        <family val="1"/>
        <charset val="2"/>
      </rPr>
      <t xml:space="preserve"> </t>
    </r>
    <r>
      <rPr>
        <sz val="10"/>
        <color theme="1"/>
        <rFont val="Arial"/>
        <family val="2"/>
      </rPr>
      <t>Einbezug des Publikums</t>
    </r>
  </si>
  <si>
    <r>
      <rPr>
        <sz val="10"/>
        <color theme="1"/>
        <rFont val="Symbol"/>
        <family val="1"/>
        <charset val="2"/>
      </rPr>
      <t>·</t>
    </r>
    <r>
      <rPr>
        <sz val="10"/>
        <color theme="1"/>
        <rFont val="Arial"/>
        <family val="2"/>
      </rPr>
      <t xml:space="preserve"> Auswahl des Inhalts
</t>
    </r>
    <r>
      <rPr>
        <sz val="10"/>
        <color theme="1"/>
        <rFont val="Symbol"/>
        <family val="1"/>
        <charset val="2"/>
      </rPr>
      <t>·</t>
    </r>
    <r>
      <rPr>
        <sz val="10"/>
        <color theme="1"/>
        <rFont val="Arial"/>
        <family val="2"/>
      </rPr>
      <t xml:space="preserve"> Neuer Aspekt
</t>
    </r>
    <r>
      <rPr>
        <sz val="10"/>
        <color theme="1"/>
        <rFont val="Symbol"/>
        <family val="1"/>
        <charset val="2"/>
      </rPr>
      <t>·</t>
    </r>
    <r>
      <rPr>
        <sz val="10"/>
        <color theme="1"/>
        <rFont val="Arial"/>
        <family val="2"/>
      </rPr>
      <t xml:space="preserve"> Darlegung der persönlichen Erkenntnisse und Erfahrungen
</t>
    </r>
    <r>
      <rPr>
        <sz val="10"/>
        <color theme="1"/>
        <rFont val="Symbol"/>
        <family val="1"/>
        <charset val="2"/>
      </rPr>
      <t>·</t>
    </r>
    <r>
      <rPr>
        <sz val="10"/>
        <color theme="1"/>
        <rFont val="Arial"/>
        <family val="2"/>
      </rPr>
      <t xml:space="preserve"> Beantwortung der Fragen</t>
    </r>
  </si>
  <si>
    <r>
      <rPr>
        <sz val="10"/>
        <color theme="1"/>
        <rFont val="Symbol"/>
        <family val="1"/>
        <charset val="2"/>
      </rPr>
      <t xml:space="preserve">· </t>
    </r>
    <r>
      <rPr>
        <sz val="10"/>
        <color theme="1"/>
        <rFont val="Arial"/>
        <family val="1"/>
        <charset val="2"/>
      </rPr>
      <t xml:space="preserve">Themendarstellung
</t>
    </r>
    <r>
      <rPr>
        <sz val="10"/>
        <color theme="1"/>
        <rFont val="Symbol"/>
        <family val="1"/>
        <charset val="2"/>
      </rPr>
      <t>·</t>
    </r>
    <r>
      <rPr>
        <sz val="10"/>
        <color theme="1"/>
        <rFont val="Arial"/>
        <family val="1"/>
        <charset val="2"/>
      </rPr>
      <t xml:space="preserve"> Klarheit
</t>
    </r>
    <r>
      <rPr>
        <sz val="10"/>
        <color theme="1"/>
        <rFont val="Symbol"/>
        <family val="1"/>
        <charset val="2"/>
      </rPr>
      <t>·</t>
    </r>
    <r>
      <rPr>
        <sz val="10"/>
        <color theme="1"/>
        <rFont val="Arial"/>
        <family val="1"/>
        <charset val="2"/>
      </rPr>
      <t xml:space="preserve"> Beschränkung aufs Wesentliche</t>
    </r>
  </si>
  <si>
    <r>
      <rPr>
        <sz val="10"/>
        <color theme="1"/>
        <rFont val="Symbol"/>
        <family val="1"/>
        <charset val="2"/>
      </rPr>
      <t>·</t>
    </r>
    <r>
      <rPr>
        <sz val="10"/>
        <color theme="1"/>
        <rFont val="Arial"/>
        <family val="1"/>
        <charset val="2"/>
      </rPr>
      <t xml:space="preserve"> Verständlichkeit
</t>
    </r>
    <r>
      <rPr>
        <sz val="10"/>
        <color theme="1"/>
        <rFont val="Symbol"/>
        <family val="1"/>
        <charset val="2"/>
      </rPr>
      <t>·</t>
    </r>
    <r>
      <rPr>
        <sz val="10"/>
        <color theme="1"/>
        <rFont val="Arial"/>
        <family val="1"/>
        <charset val="2"/>
      </rPr>
      <t xml:space="preserve"> Schlüssigkeit</t>
    </r>
  </si>
  <si>
    <r>
      <rPr>
        <sz val="10"/>
        <color theme="1"/>
        <rFont val="Symbol"/>
        <family val="1"/>
        <charset val="2"/>
      </rPr>
      <t>·</t>
    </r>
    <r>
      <rPr>
        <sz val="10"/>
        <color theme="1"/>
        <rFont val="Arial"/>
        <family val="1"/>
        <charset val="2"/>
      </rPr>
      <t xml:space="preserve"> </t>
    </r>
    <r>
      <rPr>
        <sz val="10"/>
        <color theme="1"/>
        <rFont val="Arial"/>
        <family val="2"/>
      </rPr>
      <t>Nachvollziehbarkeit</t>
    </r>
  </si>
  <si>
    <r>
      <rPr>
        <sz val="10"/>
        <color theme="1"/>
        <rFont val="Symbol"/>
        <family val="1"/>
        <charset val="2"/>
      </rPr>
      <t>·</t>
    </r>
    <r>
      <rPr>
        <sz val="10"/>
        <color theme="1"/>
        <rFont val="Arial"/>
        <family val="1"/>
        <charset val="2"/>
      </rPr>
      <t xml:space="preserve"> Poster erregt Aufmerksamkeit
</t>
    </r>
    <r>
      <rPr>
        <sz val="10"/>
        <color theme="1"/>
        <rFont val="Symbol"/>
        <family val="1"/>
        <charset val="2"/>
      </rPr>
      <t>·</t>
    </r>
    <r>
      <rPr>
        <sz val="10"/>
        <color theme="1"/>
        <rFont val="Arial"/>
        <family val="1"/>
        <charset val="2"/>
      </rPr>
      <t xml:space="preserve"> </t>
    </r>
    <r>
      <rPr>
        <sz val="10"/>
        <color theme="1"/>
        <rFont val="Arial"/>
        <family val="2"/>
      </rPr>
      <t>Gestaltungsideen</t>
    </r>
    <r>
      <rPr>
        <sz val="10"/>
        <color theme="1"/>
        <rFont val="Arial"/>
        <family val="1"/>
        <charset val="2"/>
      </rPr>
      <t xml:space="preserve">
</t>
    </r>
    <r>
      <rPr>
        <sz val="10"/>
        <color theme="1"/>
        <rFont val="Symbol"/>
        <family val="1"/>
        <charset val="2"/>
      </rPr>
      <t>·</t>
    </r>
    <r>
      <rPr>
        <sz val="10"/>
        <color theme="1"/>
        <rFont val="Arial"/>
        <family val="1"/>
        <charset val="2"/>
      </rPr>
      <t xml:space="preserve"> </t>
    </r>
    <r>
      <rPr>
        <sz val="10"/>
        <color theme="1"/>
        <rFont val="Arial"/>
        <family val="2"/>
      </rPr>
      <t>Grafiken und Bilder unterstützen Aussage und Inhalt</t>
    </r>
    <r>
      <rPr>
        <sz val="10"/>
        <color theme="1"/>
        <rFont val="Arial"/>
        <family val="1"/>
        <charset val="2"/>
      </rPr>
      <t xml:space="preserve">
</t>
    </r>
    <r>
      <rPr>
        <sz val="10"/>
        <color theme="1"/>
        <rFont val="Symbol"/>
        <family val="1"/>
        <charset val="2"/>
      </rPr>
      <t>·</t>
    </r>
    <r>
      <rPr>
        <sz val="10"/>
        <color theme="1"/>
        <rFont val="Arial"/>
        <family val="1"/>
        <charset val="2"/>
      </rPr>
      <t xml:space="preserve"> </t>
    </r>
    <r>
      <rPr>
        <sz val="10"/>
        <color theme="1"/>
        <rFont val="Arial"/>
        <family val="2"/>
      </rPr>
      <t>Typografie</t>
    </r>
    <r>
      <rPr>
        <sz val="10"/>
        <color theme="1"/>
        <rFont val="Arial"/>
        <family val="1"/>
        <charset val="2"/>
      </rPr>
      <t xml:space="preserve">
</t>
    </r>
    <r>
      <rPr>
        <sz val="10"/>
        <color theme="1"/>
        <rFont val="Symbol"/>
        <family val="1"/>
        <charset val="2"/>
      </rPr>
      <t>·</t>
    </r>
    <r>
      <rPr>
        <sz val="10"/>
        <color theme="1"/>
        <rFont val="Arial"/>
        <family val="1"/>
        <charset val="2"/>
      </rPr>
      <t xml:space="preserve"> </t>
    </r>
    <r>
      <rPr>
        <sz val="10"/>
        <color theme="1"/>
        <rFont val="Arial"/>
        <family val="2"/>
      </rPr>
      <t>Materialien</t>
    </r>
  </si>
  <si>
    <r>
      <rPr>
        <sz val="10"/>
        <color theme="1"/>
        <rFont val="Symbol"/>
        <family val="1"/>
        <charset val="2"/>
      </rPr>
      <t>·</t>
    </r>
    <r>
      <rPr>
        <sz val="10"/>
        <color theme="1"/>
        <rFont val="Arial"/>
        <family val="1"/>
        <charset val="2"/>
      </rPr>
      <t xml:space="preserve"> </t>
    </r>
    <r>
      <rPr>
        <sz val="10"/>
        <color theme="1"/>
        <rFont val="Arial"/>
        <family val="2"/>
      </rPr>
      <t xml:space="preserve">Anordnung </t>
    </r>
    <r>
      <rPr>
        <sz val="10"/>
        <color theme="1"/>
        <rFont val="Arial"/>
        <family val="1"/>
        <charset val="2"/>
      </rPr>
      <t xml:space="preserve">
</t>
    </r>
    <r>
      <rPr>
        <sz val="10"/>
        <color theme="1"/>
        <rFont val="Symbol"/>
        <family val="1"/>
        <charset val="2"/>
      </rPr>
      <t>·</t>
    </r>
    <r>
      <rPr>
        <sz val="10"/>
        <color theme="1"/>
        <rFont val="Arial"/>
        <family val="1"/>
        <charset val="2"/>
      </rPr>
      <t xml:space="preserve"> </t>
    </r>
    <r>
      <rPr>
        <sz val="10"/>
        <color theme="1"/>
        <rFont val="Arial"/>
        <family val="2"/>
      </rPr>
      <t xml:space="preserve">Gewichtung </t>
    </r>
  </si>
  <si>
    <r>
      <rPr>
        <sz val="10"/>
        <color theme="1"/>
        <rFont val="Symbol"/>
        <family val="1"/>
        <charset val="2"/>
      </rPr>
      <t>·</t>
    </r>
    <r>
      <rPr>
        <sz val="10"/>
        <color theme="1"/>
        <rFont val="Arial"/>
        <family val="1"/>
        <charset val="2"/>
      </rPr>
      <t xml:space="preserve"> Saubere Verarbeitung
</t>
    </r>
    <r>
      <rPr>
        <sz val="10"/>
        <color theme="1"/>
        <rFont val="Symbol"/>
        <family val="1"/>
        <charset val="2"/>
      </rPr>
      <t>·</t>
    </r>
    <r>
      <rPr>
        <sz val="10"/>
        <color theme="1"/>
        <rFont val="Arial"/>
        <family val="1"/>
        <charset val="2"/>
      </rPr>
      <t xml:space="preserve"> Technik
</t>
    </r>
    <r>
      <rPr>
        <sz val="10"/>
        <color theme="1"/>
        <rFont val="Symbol"/>
        <family val="1"/>
        <charset val="2"/>
      </rPr>
      <t>·</t>
    </r>
    <r>
      <rPr>
        <sz val="10"/>
        <color theme="1"/>
        <rFont val="Arial"/>
        <family val="1"/>
        <charset val="2"/>
      </rPr>
      <t xml:space="preserve"> </t>
    </r>
    <r>
      <rPr>
        <sz val="10"/>
        <color theme="1"/>
        <rFont val="Arial"/>
        <family val="2"/>
      </rPr>
      <t>Zitate / Quellen / Verzeichnisse</t>
    </r>
  </si>
  <si>
    <r>
      <t xml:space="preserve">PDF zusammen mit dem Konzept und dem Präzisierungsformular per Edubs-Mail ans Sekretariat: </t>
    </r>
    <r>
      <rPr>
        <i/>
        <sz val="10"/>
        <color theme="1"/>
        <rFont val="Arial"/>
        <family val="2"/>
      </rPr>
      <t xml:space="preserve">wginfo@edubs.ch </t>
    </r>
  </si>
  <si>
    <r>
      <t xml:space="preserve">Nur die Register 'Konzept', 'Projektvereinbarung' und 'Einzelarbeit oder Gruppenarbeit' als PDF 
per Edubs-Mail ans Sekretariat: </t>
    </r>
    <r>
      <rPr>
        <i/>
        <sz val="10"/>
        <color theme="1"/>
        <rFont val="Arial"/>
        <family val="2"/>
      </rPr>
      <t>wginfo@edubs.ch</t>
    </r>
    <r>
      <rPr>
        <sz val="10"/>
        <color theme="1"/>
        <rFont val="Arial"/>
        <family val="2"/>
      </rPr>
      <t xml:space="preserve"> 
Cc des PDFs an Koreferenten senden</t>
    </r>
  </si>
  <si>
    <r>
      <t>Datei folgendermassen benennen: MA_WG_</t>
    </r>
    <r>
      <rPr>
        <i/>
        <sz val="10"/>
        <color theme="1"/>
        <rFont val="Arial"/>
        <family val="2"/>
      </rPr>
      <t>Abschlussjahr_Nachname_Vorname_</t>
    </r>
    <r>
      <rPr>
        <sz val="10"/>
        <color theme="1"/>
        <rFont val="Arial"/>
        <family val="2"/>
      </rPr>
      <t>Bewertung</t>
    </r>
  </si>
  <si>
    <t>MA Typ Technische Produktion</t>
  </si>
  <si>
    <t>Konstruktionsidee und Methodeneinsatz</t>
  </si>
  <si>
    <t>10 - 20</t>
  </si>
  <si>
    <t>10 - 15</t>
  </si>
  <si>
    <r>
      <rPr>
        <sz val="10"/>
        <color theme="1"/>
        <rFont val="Symbol"/>
        <family val="1"/>
        <charset val="2"/>
      </rPr>
      <t>·</t>
    </r>
    <r>
      <rPr>
        <sz val="10"/>
        <color theme="1"/>
        <rFont val="Arial"/>
        <family val="2"/>
      </rPr>
      <t xml:space="preserve"> Realisation der Konstruktionsidee
</t>
    </r>
    <r>
      <rPr>
        <sz val="10"/>
        <color theme="1"/>
        <rFont val="Symbol"/>
        <family val="1"/>
        <charset val="2"/>
      </rPr>
      <t>·</t>
    </r>
    <r>
      <rPr>
        <sz val="10"/>
        <color theme="1"/>
        <rFont val="Arial"/>
        <family val="2"/>
      </rPr>
      <t xml:space="preserve"> Angemessenheit des technischen Verfahrens
</t>
    </r>
    <r>
      <rPr>
        <sz val="10"/>
        <color theme="1"/>
        <rFont val="Symbol"/>
        <family val="1"/>
        <charset val="2"/>
      </rPr>
      <t>·</t>
    </r>
    <r>
      <rPr>
        <sz val="10"/>
        <color theme="1"/>
        <rFont val="Arial"/>
        <family val="2"/>
      </rPr>
      <t xml:space="preserve"> Beherrschen bzw. Erlernen der notwendigen
   fachlichen Verfahren 
</t>
    </r>
    <r>
      <rPr>
        <sz val="10"/>
        <color theme="1"/>
        <rFont val="Symbol"/>
        <family val="1"/>
        <charset val="2"/>
      </rPr>
      <t>·</t>
    </r>
    <r>
      <rPr>
        <sz val="10"/>
        <color theme="1"/>
        <rFont val="Arial"/>
        <family val="2"/>
      </rPr>
      <t>...</t>
    </r>
  </si>
  <si>
    <r>
      <rPr>
        <sz val="10"/>
        <color theme="1"/>
        <rFont val="Symbol"/>
        <family val="1"/>
        <charset val="2"/>
      </rPr>
      <t>·</t>
    </r>
    <r>
      <rPr>
        <sz val="10"/>
        <color theme="1"/>
        <rFont val="Arial"/>
        <family val="2"/>
      </rPr>
      <t xml:space="preserve"> Auseinandersetzung mit dem Thema
</t>
    </r>
    <r>
      <rPr>
        <sz val="10"/>
        <color theme="1"/>
        <rFont val="Symbol"/>
        <family val="1"/>
        <charset val="2"/>
      </rPr>
      <t>·</t>
    </r>
    <r>
      <rPr>
        <sz val="10"/>
        <color theme="1"/>
        <rFont val="Arial"/>
        <family val="2"/>
      </rPr>
      <t xml:space="preserve"> Einbringen eigener Erfahrungen auf dem Gebiet</t>
    </r>
    <r>
      <rPr>
        <sz val="10"/>
        <color theme="1"/>
        <rFont val="Arial"/>
        <family val="1"/>
        <charset val="2"/>
      </rPr>
      <t xml:space="preserve">
</t>
    </r>
    <r>
      <rPr>
        <sz val="10"/>
        <color theme="1"/>
        <rFont val="Symbol"/>
        <family val="1"/>
        <charset val="2"/>
      </rPr>
      <t>·</t>
    </r>
    <r>
      <rPr>
        <sz val="10"/>
        <color theme="1"/>
        <rFont val="Arial"/>
        <family val="1"/>
        <charset val="2"/>
      </rPr>
      <t xml:space="preserve"> …</t>
    </r>
  </si>
  <si>
    <r>
      <rPr>
        <sz val="10"/>
        <color theme="1"/>
        <rFont val="Symbol"/>
        <family val="1"/>
        <charset val="2"/>
      </rPr>
      <t>·</t>
    </r>
    <r>
      <rPr>
        <sz val="10"/>
        <color theme="1"/>
        <rFont val="Arial"/>
        <family val="2"/>
      </rPr>
      <t xml:space="preserve"> Entstehung eines Ganzen aus Plänen, Entwürfen, 
   Modellen
</t>
    </r>
    <r>
      <rPr>
        <sz val="10"/>
        <color theme="1"/>
        <rFont val="Symbol"/>
        <family val="1"/>
        <charset val="2"/>
      </rPr>
      <t>·</t>
    </r>
    <r>
      <rPr>
        <sz val="10"/>
        <color theme="1"/>
        <rFont val="Arial"/>
        <family val="2"/>
      </rPr>
      <t xml:space="preserve"> …</t>
    </r>
  </si>
  <si>
    <r>
      <rPr>
        <sz val="10"/>
        <color theme="1"/>
        <rFont val="Symbol"/>
        <family val="1"/>
        <charset val="2"/>
      </rPr>
      <t>·</t>
    </r>
    <r>
      <rPr>
        <sz val="10"/>
        <color theme="1"/>
        <rFont val="Arial"/>
        <family val="2"/>
      </rPr>
      <t xml:space="preserve"> Technische Qualität des Erzeugnisses
</t>
    </r>
    <r>
      <rPr>
        <sz val="10"/>
        <color theme="1"/>
        <rFont val="Symbol"/>
        <family val="1"/>
        <charset val="2"/>
      </rPr>
      <t>·</t>
    </r>
    <r>
      <rPr>
        <sz val="10"/>
        <color theme="1"/>
        <rFont val="Arial"/>
        <family val="2"/>
      </rPr>
      <t xml:space="preserve"> …</t>
    </r>
  </si>
  <si>
    <t>40 - 50</t>
  </si>
  <si>
    <r>
      <rPr>
        <sz val="10"/>
        <color theme="1"/>
        <rFont val="Symbol"/>
        <family val="1"/>
        <charset val="2"/>
      </rPr>
      <t>·</t>
    </r>
    <r>
      <rPr>
        <sz val="10"/>
        <color theme="1"/>
        <rFont val="Arial"/>
        <family val="2"/>
      </rPr>
      <t xml:space="preserve"> Neue bzw. modifizierte Eigenschaft des Erzeugnisses
</t>
    </r>
    <r>
      <rPr>
        <sz val="10"/>
        <color theme="1"/>
        <rFont val="Symbol"/>
        <family val="1"/>
        <charset val="2"/>
      </rPr>
      <t>·</t>
    </r>
    <r>
      <rPr>
        <sz val="10"/>
        <color theme="1"/>
        <rFont val="Arial"/>
        <family val="2"/>
      </rPr>
      <t xml:space="preserve"> …</t>
    </r>
  </si>
  <si>
    <r>
      <rPr>
        <sz val="10"/>
        <color theme="1"/>
        <rFont val="Symbol"/>
        <family val="1"/>
        <charset val="2"/>
      </rPr>
      <t>·</t>
    </r>
    <r>
      <rPr>
        <sz val="10"/>
        <color theme="1"/>
        <rFont val="Arial"/>
        <family val="2"/>
      </rPr>
      <t xml:space="preserve"> Umschreibung der Konstruktionsidee</t>
    </r>
    <r>
      <rPr>
        <sz val="10"/>
        <color theme="1"/>
        <rFont val="Arial"/>
        <family val="1"/>
        <charset val="2"/>
      </rPr>
      <t xml:space="preserve">
</t>
    </r>
    <r>
      <rPr>
        <sz val="10"/>
        <color theme="1"/>
        <rFont val="Symbol"/>
        <family val="1"/>
        <charset val="2"/>
      </rPr>
      <t>·</t>
    </r>
    <r>
      <rPr>
        <sz val="10"/>
        <color theme="1"/>
        <rFont val="Arial"/>
        <family val="1"/>
        <charset val="2"/>
      </rPr>
      <t xml:space="preserve"> Erklärung des Vorgehens
</t>
    </r>
    <r>
      <rPr>
        <sz val="10"/>
        <color theme="1"/>
        <rFont val="Symbol"/>
        <family val="1"/>
        <charset val="2"/>
      </rPr>
      <t>·</t>
    </r>
    <r>
      <rPr>
        <sz val="10"/>
        <color theme="1"/>
        <rFont val="Arial"/>
        <family val="1"/>
        <charset val="2"/>
      </rPr>
      <t xml:space="preserve"> …</t>
    </r>
  </si>
  <si>
    <r>
      <rPr>
        <sz val="10"/>
        <color theme="1"/>
        <rFont val="Symbol"/>
        <family val="1"/>
        <charset val="2"/>
      </rPr>
      <t xml:space="preserve">· </t>
    </r>
    <r>
      <rPr>
        <sz val="10"/>
        <color theme="1"/>
        <rFont val="Arial"/>
        <family val="2"/>
      </rPr>
      <t xml:space="preserve">Deklaration des eigenen Anteils am Werk
</t>
    </r>
    <r>
      <rPr>
        <sz val="10"/>
        <color theme="1"/>
        <rFont val="Symbol"/>
        <family val="1"/>
        <charset val="2"/>
      </rPr>
      <t>·</t>
    </r>
    <r>
      <rPr>
        <sz val="10"/>
        <color theme="1"/>
        <rFont val="Arial"/>
        <family val="2"/>
      </rPr>
      <t xml:space="preserve"> Aufzeigen des Bezugs von Theorie und Werk
</t>
    </r>
    <r>
      <rPr>
        <sz val="10"/>
        <color theme="1"/>
        <rFont val="Symbol"/>
        <family val="1"/>
        <charset val="2"/>
      </rPr>
      <t>·</t>
    </r>
    <r>
      <rPr>
        <sz val="10"/>
        <color theme="1"/>
        <rFont val="Arial"/>
        <family val="2"/>
      </rPr>
      <t xml:space="preserve"> Eigenständiger Aufbau der Arbeit
</t>
    </r>
    <r>
      <rPr>
        <sz val="10"/>
        <color theme="1"/>
        <rFont val="Symbol"/>
        <family val="1"/>
        <charset val="2"/>
      </rPr>
      <t>·</t>
    </r>
    <r>
      <rPr>
        <sz val="10"/>
        <color theme="1"/>
        <rFont val="Arial"/>
        <family val="2"/>
      </rPr>
      <t xml:space="preserve"> Reflexion und Schlussfolgerungen
</t>
    </r>
    <r>
      <rPr>
        <sz val="10"/>
        <color theme="1"/>
        <rFont val="Symbol"/>
        <family val="1"/>
        <charset val="2"/>
      </rPr>
      <t>·</t>
    </r>
    <r>
      <rPr>
        <sz val="10"/>
        <color theme="1"/>
        <rFont val="Arial"/>
        <family val="2"/>
      </rPr>
      <t xml:space="preserve"> ...</t>
    </r>
  </si>
  <si>
    <r>
      <rPr>
        <sz val="10"/>
        <color theme="1"/>
        <rFont val="Symbol"/>
        <family val="1"/>
        <charset val="2"/>
      </rPr>
      <t>·</t>
    </r>
    <r>
      <rPr>
        <sz val="10"/>
        <color theme="1"/>
        <rFont val="Arial"/>
        <family val="2"/>
      </rPr>
      <t xml:space="preserve"> Richtigkeit der Aussagen
</t>
    </r>
    <r>
      <rPr>
        <sz val="10"/>
        <color theme="1"/>
        <rFont val="Symbol"/>
        <family val="1"/>
        <charset val="2"/>
      </rPr>
      <t>·</t>
    </r>
    <r>
      <rPr>
        <sz val="10"/>
        <color theme="1"/>
        <rFont val="Arial"/>
        <family val="2"/>
      </rPr>
      <t xml:space="preserve"> Begründung der eigenen Ansichten
</t>
    </r>
    <r>
      <rPr>
        <sz val="10"/>
        <color theme="1"/>
        <rFont val="Symbol"/>
        <family val="1"/>
        <charset val="2"/>
      </rPr>
      <t>·</t>
    </r>
    <r>
      <rPr>
        <sz val="10"/>
        <color theme="1"/>
        <rFont val="Arial"/>
        <family val="2"/>
      </rPr>
      <t xml:space="preserve"> Unterscheidung von Tatsachenaussagen und eigener
   Meinung
</t>
    </r>
    <r>
      <rPr>
        <sz val="10"/>
        <color theme="1"/>
        <rFont val="Symbol"/>
        <family val="1"/>
        <charset val="2"/>
      </rPr>
      <t>·</t>
    </r>
    <r>
      <rPr>
        <sz val="10"/>
        <color theme="1"/>
        <rFont val="Arial"/>
        <family val="2"/>
      </rPr>
      <t xml:space="preserve"> Reflexion zu Verlauf, Ergebnis und Bedeutung der Arbeit
</t>
    </r>
    <r>
      <rPr>
        <sz val="10"/>
        <color theme="1"/>
        <rFont val="Symbol"/>
        <family val="1"/>
        <charset val="2"/>
      </rPr>
      <t>·</t>
    </r>
    <r>
      <rPr>
        <sz val="10"/>
        <color theme="1"/>
        <rFont val="Arial"/>
        <family val="2"/>
      </rPr>
      <t xml:space="preserve"> …</t>
    </r>
  </si>
  <si>
    <r>
      <rPr>
        <sz val="10"/>
        <color theme="1"/>
        <rFont val="Symbol"/>
        <family val="1"/>
        <charset val="2"/>
      </rPr>
      <t>·</t>
    </r>
    <r>
      <rPr>
        <sz val="10"/>
        <color theme="1"/>
        <rFont val="Arial"/>
        <family val="2"/>
      </rPr>
      <t xml:space="preserve"> Kommentar zeigt Verständnis des Problems 
   bzw. der Gesetzmässigkeiten</t>
    </r>
    <r>
      <rPr>
        <sz val="10"/>
        <color theme="1"/>
        <rFont val="Arial"/>
        <family val="1"/>
        <charset val="2"/>
      </rPr>
      <t xml:space="preserve">
</t>
    </r>
    <r>
      <rPr>
        <sz val="10"/>
        <color theme="1"/>
        <rFont val="Symbol"/>
        <family val="1"/>
        <charset val="2"/>
      </rPr>
      <t xml:space="preserve">· </t>
    </r>
    <r>
      <rPr>
        <sz val="10"/>
        <color theme="1"/>
        <rFont val="Arial"/>
        <family val="1"/>
        <charset val="2"/>
      </rPr>
      <t xml:space="preserve">Dokumentation des Entstehungshintergrundes und
   Entwicklungsprozesses
</t>
    </r>
    <r>
      <rPr>
        <sz val="10"/>
        <color theme="1"/>
        <rFont val="Symbol"/>
        <family val="1"/>
        <charset val="2"/>
      </rPr>
      <t>·</t>
    </r>
    <r>
      <rPr>
        <sz val="10"/>
        <color theme="1"/>
        <rFont val="Arial"/>
        <family val="1"/>
        <charset val="2"/>
      </rPr>
      <t xml:space="preserve"> Angemessener Aufbau
</t>
    </r>
    <r>
      <rPr>
        <sz val="10"/>
        <color theme="1"/>
        <rFont val="Symbol"/>
        <family val="1"/>
        <charset val="2"/>
      </rPr>
      <t>·</t>
    </r>
    <r>
      <rPr>
        <sz val="10"/>
        <color theme="1"/>
        <rFont val="Arial"/>
        <family val="1"/>
        <charset val="2"/>
      </rPr>
      <t xml:space="preserve"> Logische Verbindung der Teile (Einleitung, Hauptteil, 
   Schlussteil)
</t>
    </r>
    <r>
      <rPr>
        <sz val="10"/>
        <color theme="1"/>
        <rFont val="Symbol"/>
        <family val="1"/>
        <charset val="2"/>
      </rPr>
      <t>·</t>
    </r>
    <r>
      <rPr>
        <sz val="10"/>
        <color theme="1"/>
        <rFont val="Arial"/>
        <family val="1"/>
        <charset val="2"/>
      </rPr>
      <t xml:space="preserve"> ...</t>
    </r>
  </si>
  <si>
    <r>
      <rPr>
        <sz val="10"/>
        <color theme="1"/>
        <rFont val="Symbol"/>
        <family val="1"/>
        <charset val="2"/>
      </rPr>
      <t>·</t>
    </r>
    <r>
      <rPr>
        <sz val="10"/>
        <color theme="1"/>
        <rFont val="Arial"/>
        <family val="2"/>
      </rPr>
      <t xml:space="preserve"> Zitieren (nach Vorgaben)
</t>
    </r>
    <r>
      <rPr>
        <sz val="10"/>
        <color theme="1"/>
        <rFont val="Symbol"/>
        <family val="1"/>
        <charset val="2"/>
      </rPr>
      <t>·</t>
    </r>
    <r>
      <rPr>
        <sz val="10"/>
        <color theme="1"/>
        <rFont val="Arial"/>
        <family val="2"/>
      </rPr>
      <t xml:space="preserve"> Ausweisung fremder Gedanken
</t>
    </r>
    <r>
      <rPr>
        <sz val="10"/>
        <color theme="1"/>
        <rFont val="Symbol"/>
        <family val="1"/>
        <charset val="2"/>
      </rPr>
      <t>·</t>
    </r>
    <r>
      <rPr>
        <sz val="10"/>
        <color theme="1"/>
        <rFont val="Arial"/>
        <family val="2"/>
      </rPr>
      <t xml:space="preserve"> Beschriftung von Darstellungen
</t>
    </r>
    <r>
      <rPr>
        <sz val="10"/>
        <color theme="1"/>
        <rFont val="Symbol"/>
        <family val="1"/>
        <charset val="2"/>
      </rPr>
      <t>·</t>
    </r>
    <r>
      <rPr>
        <sz val="10"/>
        <color theme="1"/>
        <rFont val="Arial"/>
        <family val="2"/>
      </rPr>
      <t xml:space="preserve"> Inhalts-, Quellen-, Literaturangaben
</t>
    </r>
    <r>
      <rPr>
        <sz val="10"/>
        <color theme="1"/>
        <rFont val="Symbol"/>
        <family val="1"/>
        <charset val="2"/>
      </rPr>
      <t>·</t>
    </r>
    <r>
      <rPr>
        <sz val="10"/>
        <color theme="1"/>
        <rFont val="Arial"/>
        <family val="2"/>
      </rPr>
      <t xml:space="preserve"> Vollständigkeit der Verzeichnisse
</t>
    </r>
    <r>
      <rPr>
        <sz val="10"/>
        <color theme="1"/>
        <rFont val="Symbol"/>
        <family val="1"/>
        <charset val="2"/>
      </rPr>
      <t>·</t>
    </r>
    <r>
      <rPr>
        <sz val="10"/>
        <color theme="1"/>
        <rFont val="Arial"/>
        <family val="2"/>
      </rPr>
      <t xml:space="preserve"> ...</t>
    </r>
  </si>
  <si>
    <t>30 - 40</t>
  </si>
  <si>
    <r>
      <rPr>
        <sz val="10"/>
        <color theme="1"/>
        <rFont val="Symbol"/>
        <family val="1"/>
        <charset val="2"/>
      </rPr>
      <t>·</t>
    </r>
    <r>
      <rPr>
        <sz val="10"/>
        <color theme="1"/>
        <rFont val="Arial"/>
        <family val="2"/>
      </rPr>
      <t xml:space="preserve"> Verarbeitung der Quellen und Daten, Versuchsergebnisse, 
   anderer Wissensbestände
</t>
    </r>
    <r>
      <rPr>
        <sz val="10"/>
        <color theme="1"/>
        <rFont val="Symbol"/>
        <family val="1"/>
        <charset val="2"/>
      </rPr>
      <t>·</t>
    </r>
    <r>
      <rPr>
        <sz val="10"/>
        <color theme="1"/>
        <rFont val="Arial"/>
        <family val="2"/>
      </rPr>
      <t xml:space="preserve"> Wahl von aktueller Literatur
</t>
    </r>
    <r>
      <rPr>
        <sz val="10"/>
        <color theme="1"/>
        <rFont val="Symbol"/>
        <family val="1"/>
        <charset val="2"/>
      </rPr>
      <t>·</t>
    </r>
    <r>
      <rPr>
        <sz val="10"/>
        <color theme="1"/>
        <rFont val="Arial"/>
        <family val="2"/>
      </rPr>
      <t xml:space="preserve"> Wahl von aktueller Sekundärliteratur
</t>
    </r>
    <r>
      <rPr>
        <sz val="10"/>
        <color theme="1"/>
        <rFont val="Symbol"/>
        <family val="1"/>
        <charset val="2"/>
      </rPr>
      <t>·</t>
    </r>
    <r>
      <rPr>
        <sz val="10"/>
        <color theme="1"/>
        <rFont val="Arial"/>
        <family val="2"/>
      </rPr>
      <t xml:space="preserve"> Verarbeitung der Sekundärliteratur
</t>
    </r>
    <r>
      <rPr>
        <sz val="10"/>
        <color theme="1"/>
        <rFont val="Symbol"/>
        <family val="1"/>
        <charset val="2"/>
      </rPr>
      <t>·</t>
    </r>
    <r>
      <rPr>
        <sz val="10"/>
        <color theme="1"/>
        <rFont val="Arial"/>
        <family val="2"/>
      </rPr>
      <t xml:space="preserve"> …</t>
    </r>
  </si>
  <si>
    <t>Vorname Name / Klasse</t>
  </si>
  <si>
    <t>Schriftlicher Teil</t>
  </si>
  <si>
    <t>Jan</t>
  </si>
  <si>
    <t>Haag</t>
  </si>
  <si>
    <t>Christian</t>
  </si>
  <si>
    <t>Datzko</t>
  </si>
  <si>
    <t>G3c</t>
  </si>
  <si>
    <t>christian.datzko@edubs.ch</t>
  </si>
  <si>
    <t>Technische Produktion</t>
  </si>
  <si>
    <t>Jan, Haag</t>
  </si>
  <si>
    <t>Christian, Datzko</t>
  </si>
  <si>
    <t>Programmierung und Optimierung eines Programmes für die Erkennung von handgeschriebenen Zahlen</t>
  </si>
  <si>
    <t>jan.haag@stud.edubs.ch/ Jan.valentin.haag@gmail.com</t>
  </si>
  <si>
    <t>Ich kann ein NN erstellen, optimieren und verstehen. Dieses NN kann handgeschriebene Zahlen digital lesen und in die Zahlen 0-9 kathegorisieren.</t>
  </si>
  <si>
    <t>- Wie kann ich ein NN schreiben und optimieren, welches die Fehlerquote beim Kategorisieren von handgeschriebenen Zahlen auf ein lokales oder globales Minimum bringt?
- Welche Programmiersprache eignet sich für mein Projekt am besten?
- Welche Bibliotheken eignen sich für mein Programm am besten?
- Mit diesem Projekt möchte ich mich mit dem heutzutage alltäglich verwendeten Begriff der AI auseinandersetzen. Ich möchte mir ein grundlegendes Verständnis über AI’s und NN’s verschaffen.</t>
  </si>
  <si>
    <t>Ich schreibe mein Programm mithilfe von "Libraries". Als Informationsquelle werde ich hauptsächlich das Internet verwenden, dabei werden mir wahrscheinlich Quellen wie «Stack Overflow» besonders nützlich sein. 
Phase 1: 
Ich setze mich mit dem Aufbau von Informatikarbeiten auseinander
Ich verschaffe mir Kenntnisse über den Aufbau von NN’s und deren Anforderungen (z.B. an die Programmiersprache)
Analyse verschiedener Programmiersprachen und auswählen einer geeigneten Programmiersprache
Phase 2: 
Erstellung einer Liste mit nützlichen «Libraries», welche ich in meinem Programm verwenden möchte
Schreiben des Programmes und des NN’s
Phase 3:
Auseinandersetzung mit der Optimierung von NN’s
Auseinandersetzung mit lokalen und globalen Maxima
Optimierung gewisser Variabeln, um bessere Ergebnisse zu erzielen
Phase 4:
Fertigstellen der Dokumentation, der schriftlichen Arbeit und des Arbeitsjournales</t>
  </si>
  <si>
    <t>1.	Einleitung
a.	Motivation
b.	Zielsetzung
c.	Warum ich dieses Projekt mache
2.	Grundlagen des Machinelearnings 
3.	Aufbau meines Programmes
4.	Optimierung des Programmes
5.	Auswertung (z.B. mittels eines Feldtestes)
6.	Fazit
7.	Quellenverzeichnis</t>
  </si>
  <si>
    <t>Ich schreibe ein Programm, welches digitale Bilder von handgeschriebenen Zahlen einliest und diese korrekt kategorisiert. Das Programm beinhaltet ein NN. Das Programm werde ich mithilfe von «Libraries» schreiben. Ich werde versuchen Variablen des NN’s zu optimieren, um bessere Genauigkeit bei der Kategorisierung der Zahlen zu erzielen.</t>
  </si>
  <si>
    <t>1.: 	05.05.2023: 
	Abgabe von Projektvereibarung, inkl. Konzept und Präzisierte Bewertungskriterien.
2.: 	 19.05.2023: 
	Auseinandersetzung mit dem Aufbau von Informatikarbeiten
	Informationsbeschaffung vom Aufbau eines NN’s
	Informationsbeschaffung bezüglich der Anforderungen meines NN’s.
	Analyse von verschiedenen Programmiersprachen und Erstellung einer Pros und Cons Liste von verschiedenen Programmiersprachen.
3.: 	22.06.2023 – 28.06.2023:
	Maturaarbeitswoche
	1 Zwischengespräch mit Betreuungslehrperson
4.: 	23.06.2023:
	Erstellung einer Liste mit nützlichen Libraries
	Erstellen des NN’s in der ausgewählten Programmiersprache
5.: 	14.08.2023:
	Auseinandersetzung mit der Optimierung meines NN’s
	Auseinandersetzung mit den lokalen Maxima und den globalen Maxima.
	Optimierung gewisser Variablen meines NN’s.
6.: 	01.09.2023:
	Fertigstellen des Schriftlichen Teiles der Arbeit
	Zusammenfassung von Notizen und Überarbeitung des Arbeitjournal
7.: 	13.10.2023: 
	Späteste Abgabe von Maturarbeit und Arbeitsjournal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</si>
</sst>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font>
      <sz val="11"/>
      <color theme="1"/>
      <name val="Calibri"/>
      <family val="2"/>
      <scheme val="minor"/>
    </font>
    <font>
      <b/>
      <sz val="11"/>
      <name val="Arial"/>
      <family val="2"/>
    </font>
    <font>
      <b/>
      <sz val="12"/>
      <name val="Arial"/>
      <family val="2"/>
    </font>
    <font>
      <b/>
      <sz val="9"/>
      <name val="Arial"/>
      <family val="2"/>
    </font>
    <font>
      <sz val="11"/>
      <color theme="1"/>
      <name val="Arial"/>
      <family val="2"/>
    </font>
    <font>
      <b/>
      <sz val="11"/>
      <color theme="1"/>
      <name val="Arial"/>
      <family val="2"/>
    </font>
    <font>
      <b/>
      <sz val="8"/>
      <color theme="1"/>
      <name val="Arial"/>
      <family val="2"/>
    </font>
    <font>
      <sz val="8"/>
      <color theme="1"/>
      <name val="Arial"/>
      <family val="2"/>
    </font>
    <font>
      <b/>
      <sz val="10"/>
      <color theme="1"/>
      <name val="Arial"/>
      <family val="2"/>
    </font>
    <font>
      <sz val="10"/>
      <color theme="1"/>
      <name val="Arial"/>
      <family val="2"/>
    </font>
    <font>
      <sz val="12"/>
      <color theme="1"/>
      <name val="Arial"/>
      <family val="2"/>
    </font>
    <font>
      <sz val="12"/>
      <color rgb="FF0070C0"/>
      <name val="Arial"/>
      <family val="2"/>
    </font>
    <font>
      <b/>
      <sz val="10"/>
      <name val="Arial"/>
      <family val="2"/>
    </font>
    <font>
      <b/>
      <sz val="11"/>
      <color theme="1"/>
      <name val="Calibri"/>
      <family val="2"/>
      <scheme val="minor"/>
    </font>
    <font>
      <i/>
      <sz val="10"/>
      <color theme="1"/>
      <name val="Arial"/>
      <family val="2"/>
    </font>
    <font>
      <b/>
      <sz val="12"/>
      <color rgb="FF0070C0"/>
      <name val="Arial"/>
      <family val="2"/>
    </font>
    <font>
      <b/>
      <sz val="14"/>
      <color theme="1"/>
      <name val="Arial"/>
      <family val="2"/>
    </font>
    <font>
      <sz val="10"/>
      <color theme="1"/>
      <name val="Calibri"/>
      <family val="2"/>
      <scheme val="minor"/>
    </font>
    <font>
      <sz val="11"/>
      <name val="Arial"/>
      <family val="2"/>
    </font>
    <font>
      <i/>
      <sz val="10"/>
      <name val="Arial"/>
      <family val="2"/>
    </font>
    <font>
      <sz val="10"/>
      <color rgb="FF000000"/>
      <name val="Arial"/>
      <family val="2"/>
    </font>
    <font>
      <sz val="10"/>
      <color rgb="FF444444"/>
      <name val="Arial"/>
      <family val="2"/>
    </font>
    <font>
      <sz val="10"/>
      <color theme="1"/>
      <name val="Arial"/>
      <family val="1"/>
      <charset val="2"/>
    </font>
    <font>
      <sz val="10"/>
      <color theme="1"/>
      <name val="Symbol"/>
      <family val="1"/>
      <charset val="2"/>
    </font>
    <font>
      <sz val="10"/>
      <color theme="1"/>
      <name val="Calibri"/>
      <family val="1"/>
      <charset val="2"/>
    </font>
  </fonts>
  <fills count="6">
    <fill>
      <patternFill patternType="none"/>
    </fill>
    <fill>
      <patternFill patternType="gray125"/>
    </fill>
    <fill>
      <patternFill patternType="solid">
        <fgColor theme="3" tint="0.79998168889431442"/>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2" tint="-9.9978637043366805E-2"/>
        <bgColor indexed="64"/>
      </patternFill>
    </fill>
  </fills>
  <borders count="92">
    <border>
      <left/>
      <right/>
      <top/>
      <bottom/>
      <diagonal/>
    </border>
    <border>
      <left/>
      <right/>
      <top/>
      <bottom style="medium">
        <color indexed="64"/>
      </bottom>
      <diagonal/>
    </border>
    <border>
      <left/>
      <right/>
      <top/>
      <bottom style="double">
        <color indexed="64"/>
      </bottom>
      <diagonal/>
    </border>
    <border>
      <left/>
      <right/>
      <top style="medium">
        <color indexed="64"/>
      </top>
      <bottom style="medium">
        <color indexed="64"/>
      </bottom>
      <diagonal/>
    </border>
    <border>
      <left/>
      <right/>
      <top style="double">
        <color indexed="64"/>
      </top>
      <bottom style="medium">
        <color indexed="64"/>
      </bottom>
      <diagonal/>
    </border>
    <border>
      <left style="double">
        <color indexed="64"/>
      </left>
      <right/>
      <top style="double">
        <color indexed="64"/>
      </top>
      <bottom style="medium">
        <color rgb="FF404040"/>
      </bottom>
      <diagonal/>
    </border>
    <border>
      <left/>
      <right/>
      <top style="double">
        <color indexed="64"/>
      </top>
      <bottom style="medium">
        <color rgb="FF404040"/>
      </bottom>
      <diagonal/>
    </border>
    <border>
      <left/>
      <right style="double">
        <color indexed="64"/>
      </right>
      <top style="double">
        <color indexed="64"/>
      </top>
      <bottom style="medium">
        <color rgb="FF404040"/>
      </bottom>
      <diagonal/>
    </border>
    <border>
      <left/>
      <right/>
      <top style="medium">
        <color indexed="64"/>
      </top>
      <bottom/>
      <diagonal/>
    </border>
    <border>
      <left/>
      <right/>
      <top style="double">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double">
        <color indexed="64"/>
      </top>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thin">
        <color indexed="64"/>
      </right>
      <top style="medium">
        <color rgb="FF404040"/>
      </top>
      <bottom style="thin">
        <color indexed="64"/>
      </bottom>
      <diagonal/>
    </border>
    <border>
      <left style="thin">
        <color indexed="64"/>
      </left>
      <right style="thin">
        <color indexed="64"/>
      </right>
      <top style="medium">
        <color rgb="FF404040"/>
      </top>
      <bottom style="thin">
        <color indexed="64"/>
      </bottom>
      <diagonal/>
    </border>
    <border>
      <left style="thin">
        <color indexed="64"/>
      </left>
      <right style="double">
        <color indexed="64"/>
      </right>
      <top style="medium">
        <color rgb="FF404040"/>
      </top>
      <bottom style="thin">
        <color indexed="64"/>
      </bottom>
      <diagonal/>
    </border>
    <border>
      <left style="thin">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double">
        <color indexed="64"/>
      </left>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style="medium">
        <color indexed="64"/>
      </top>
      <bottom style="double">
        <color indexed="64"/>
      </bottom>
      <diagonal/>
    </border>
    <border>
      <left/>
      <right/>
      <top style="medium">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right/>
      <top style="double">
        <color indexed="64"/>
      </top>
      <bottom/>
      <diagonal/>
    </border>
    <border>
      <left/>
      <right style="thin">
        <color indexed="64"/>
      </right>
      <top style="double">
        <color indexed="64"/>
      </top>
      <bottom style="double">
        <color indexed="64"/>
      </bottom>
      <diagonal/>
    </border>
    <border>
      <left/>
      <right style="thin">
        <color indexed="64"/>
      </right>
      <top/>
      <bottom style="double">
        <color indexed="64"/>
      </bottom>
      <diagonal/>
    </border>
    <border>
      <left style="double">
        <color indexed="64"/>
      </left>
      <right/>
      <top/>
      <bottom/>
      <diagonal/>
    </border>
    <border>
      <left/>
      <right style="double">
        <color indexed="64"/>
      </right>
      <top/>
      <bottom/>
      <diagonal/>
    </border>
    <border>
      <left style="double">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top style="thin">
        <color indexed="64"/>
      </top>
      <bottom style="medium">
        <color indexed="64"/>
      </bottom>
      <diagonal/>
    </border>
    <border>
      <left/>
      <right style="double">
        <color indexed="64"/>
      </right>
      <top style="medium">
        <color indexed="64"/>
      </top>
      <bottom style="double">
        <color indexed="64"/>
      </bottom>
      <diagonal/>
    </border>
    <border>
      <left style="double">
        <color indexed="64"/>
      </left>
      <right/>
      <top style="thin">
        <color indexed="64"/>
      </top>
      <bottom/>
      <diagonal/>
    </border>
    <border>
      <left style="double">
        <color indexed="64"/>
      </left>
      <right/>
      <top/>
      <bottom style="thin">
        <color indexed="64"/>
      </bottom>
      <diagonal/>
    </border>
    <border>
      <left/>
      <right style="double">
        <color indexed="64"/>
      </right>
      <top/>
      <bottom style="double">
        <color indexed="64"/>
      </bottom>
      <diagonal/>
    </border>
    <border>
      <left/>
      <right style="double">
        <color indexed="64"/>
      </right>
      <top/>
      <bottom style="thin">
        <color indexed="64"/>
      </bottom>
      <diagonal/>
    </border>
    <border>
      <left style="double">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double">
        <color indexed="64"/>
      </right>
      <top style="thin">
        <color indexed="64"/>
      </top>
      <bottom/>
      <diagonal/>
    </border>
    <border>
      <left/>
      <right style="double">
        <color indexed="64"/>
      </right>
      <top style="double">
        <color indexed="64"/>
      </top>
      <bottom style="double">
        <color indexed="64"/>
      </bottom>
      <diagonal/>
    </border>
    <border>
      <left/>
      <right style="double">
        <color indexed="64"/>
      </right>
      <top style="double">
        <color indexed="64"/>
      </top>
      <bottom/>
      <diagonal/>
    </border>
    <border>
      <left style="double">
        <color indexed="64"/>
      </left>
      <right style="thin">
        <color indexed="64"/>
      </right>
      <top style="double">
        <color indexed="64"/>
      </top>
      <bottom style="double">
        <color indexed="64"/>
      </bottom>
      <diagonal/>
    </border>
    <border>
      <left/>
      <right style="thin">
        <color indexed="64"/>
      </right>
      <top style="double">
        <color indexed="64"/>
      </top>
      <bottom/>
      <diagonal/>
    </border>
    <border>
      <left/>
      <right style="thin">
        <color indexed="64"/>
      </right>
      <top/>
      <bottom/>
      <diagonal/>
    </border>
    <border>
      <left style="double">
        <color indexed="64"/>
      </left>
      <right style="thin">
        <color indexed="64"/>
      </right>
      <top style="double">
        <color indexed="64"/>
      </top>
      <bottom/>
      <diagonal/>
    </border>
    <border>
      <left style="double">
        <color indexed="64"/>
      </left>
      <right/>
      <top style="double">
        <color indexed="64"/>
      </top>
      <bottom/>
      <diagonal/>
    </border>
  </borders>
  <cellStyleXfs count="1">
    <xf numFmtId="0" fontId="0" fillId="0" borderId="0"/>
  </cellStyleXfs>
  <cellXfs count="299">
    <xf numFmtId="0" fontId="0" fillId="0" borderId="0" xfId="0"/>
    <xf numFmtId="0" fontId="6" fillId="0" borderId="2" xfId="0" applyFont="1" applyBorder="1" applyAlignment="1">
      <alignment vertical="center" wrapText="1"/>
    </xf>
    <xf numFmtId="0" fontId="4"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0" xfId="0" applyFont="1"/>
    <xf numFmtId="0" fontId="10" fillId="0" borderId="0" xfId="0" applyFont="1" applyAlignment="1">
      <alignment vertical="center" wrapText="1"/>
    </xf>
    <xf numFmtId="0" fontId="10" fillId="0" borderId="0" xfId="0" applyFont="1" applyAlignment="1">
      <alignment horizontal="center" vertical="center" wrapText="1"/>
    </xf>
    <xf numFmtId="0" fontId="4" fillId="0" borderId="0" xfId="0" applyFont="1" applyAlignment="1">
      <alignment horizontal="center"/>
    </xf>
    <xf numFmtId="0" fontId="4" fillId="0" borderId="1" xfId="0" applyFont="1" applyBorder="1" applyAlignment="1">
      <alignment horizontal="center" vertical="center"/>
    </xf>
    <xf numFmtId="0" fontId="11" fillId="0" borderId="1" xfId="0" applyFont="1" applyBorder="1" applyAlignment="1">
      <alignment vertical="center"/>
    </xf>
    <xf numFmtId="0" fontId="5" fillId="0" borderId="20" xfId="0" applyFont="1" applyBorder="1" applyAlignment="1">
      <alignment vertical="center" wrapText="1"/>
    </xf>
    <xf numFmtId="0" fontId="5" fillId="0" borderId="21" xfId="0" applyFont="1" applyBorder="1" applyAlignment="1">
      <alignment horizontal="center" vertical="center" wrapText="1"/>
    </xf>
    <xf numFmtId="0" fontId="5" fillId="0" borderId="21" xfId="0" applyFont="1" applyBorder="1" applyAlignment="1">
      <alignment vertical="center" wrapText="1"/>
    </xf>
    <xf numFmtId="0" fontId="5" fillId="0" borderId="26" xfId="0" applyFont="1" applyBorder="1" applyAlignment="1">
      <alignment horizontal="center" vertical="center" wrapText="1"/>
    </xf>
    <xf numFmtId="0" fontId="5" fillId="0" borderId="27" xfId="0" applyFont="1" applyBorder="1" applyAlignment="1">
      <alignment vertical="center" wrapText="1"/>
    </xf>
    <xf numFmtId="0" fontId="5" fillId="0" borderId="29"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30" xfId="0" applyFont="1" applyBorder="1" applyAlignment="1">
      <alignment vertical="center" wrapText="1"/>
    </xf>
    <xf numFmtId="0" fontId="9" fillId="0" borderId="1" xfId="0" applyFont="1" applyBorder="1" applyAlignment="1">
      <alignment vertical="top"/>
    </xf>
    <xf numFmtId="0" fontId="11" fillId="0" borderId="0" xfId="0" applyFont="1"/>
    <xf numFmtId="0" fontId="5" fillId="0" borderId="40" xfId="0" applyFont="1" applyBorder="1" applyAlignment="1">
      <alignment vertical="center" wrapText="1"/>
    </xf>
    <xf numFmtId="0" fontId="4" fillId="0" borderId="0" xfId="0" applyFont="1" applyAlignment="1">
      <alignment horizontal="left"/>
    </xf>
    <xf numFmtId="0" fontId="4" fillId="0" borderId="1" xfId="0" applyFont="1" applyBorder="1" applyAlignment="1">
      <alignment horizontal="left" vertical="center"/>
    </xf>
    <xf numFmtId="0" fontId="5" fillId="0" borderId="43" xfId="0" applyFont="1" applyBorder="1" applyAlignment="1">
      <alignment horizontal="center" vertical="center" wrapText="1"/>
    </xf>
    <xf numFmtId="0" fontId="5" fillId="0" borderId="28" xfId="0" applyFont="1" applyBorder="1" applyAlignment="1">
      <alignment horizontal="left" vertical="center" wrapText="1"/>
    </xf>
    <xf numFmtId="0" fontId="1" fillId="0" borderId="2" xfId="0" applyFont="1" applyBorder="1" applyAlignment="1">
      <alignment vertical="center" wrapText="1"/>
    </xf>
    <xf numFmtId="0" fontId="1" fillId="0" borderId="46" xfId="0" applyFont="1" applyBorder="1" applyAlignment="1">
      <alignment horizontal="center" vertical="center" wrapText="1"/>
    </xf>
    <xf numFmtId="0" fontId="1" fillId="0" borderId="46" xfId="0" applyFont="1" applyBorder="1" applyAlignment="1">
      <alignment vertical="center" wrapText="1"/>
    </xf>
    <xf numFmtId="0" fontId="3" fillId="0" borderId="46" xfId="0" applyFont="1" applyBorder="1" applyAlignment="1">
      <alignment horizontal="center" vertical="center" wrapText="1"/>
    </xf>
    <xf numFmtId="0" fontId="1" fillId="0" borderId="46" xfId="0" applyFont="1" applyBorder="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4" fillId="0" borderId="30" xfId="0" applyFont="1" applyBorder="1" applyAlignment="1">
      <alignment vertical="center" wrapText="1"/>
    </xf>
    <xf numFmtId="0" fontId="4" fillId="0" borderId="34" xfId="0" applyFont="1" applyBorder="1" applyAlignment="1">
      <alignment vertical="center" wrapText="1"/>
    </xf>
    <xf numFmtId="0" fontId="15" fillId="0" borderId="0" xfId="0" applyFont="1"/>
    <xf numFmtId="0" fontId="15" fillId="0" borderId="1" xfId="0" applyFont="1" applyBorder="1" applyAlignment="1">
      <alignment horizontal="right"/>
    </xf>
    <xf numFmtId="0" fontId="4" fillId="0" borderId="59" xfId="0" applyFont="1" applyBorder="1" applyAlignment="1">
      <alignment vertical="center" wrapText="1"/>
    </xf>
    <xf numFmtId="0" fontId="4" fillId="0" borderId="0" xfId="0" applyFont="1" applyAlignment="1">
      <alignment vertical="center" wrapText="1"/>
    </xf>
    <xf numFmtId="0" fontId="4" fillId="0" borderId="2" xfId="0" applyFont="1" applyBorder="1" applyAlignment="1">
      <alignment vertical="center" wrapText="1"/>
    </xf>
    <xf numFmtId="0" fontId="4" fillId="0" borderId="57" xfId="0" applyFont="1" applyBorder="1" applyAlignment="1">
      <alignment vertical="center" wrapText="1"/>
    </xf>
    <xf numFmtId="0" fontId="4" fillId="0" borderId="44" xfId="0" applyFont="1" applyBorder="1" applyAlignment="1">
      <alignment vertical="center" wrapText="1"/>
    </xf>
    <xf numFmtId="0" fontId="1" fillId="2" borderId="2" xfId="0" applyFont="1" applyFill="1" applyBorder="1" applyAlignment="1">
      <alignment vertical="center" wrapText="1"/>
    </xf>
    <xf numFmtId="0" fontId="4" fillId="0" borderId="61" xfId="0" applyFont="1" applyBorder="1" applyAlignment="1">
      <alignment vertical="center" wrapText="1"/>
    </xf>
    <xf numFmtId="0" fontId="2" fillId="2" borderId="1" xfId="0" applyFont="1" applyFill="1" applyBorder="1" applyAlignment="1">
      <alignment vertical="center" wrapText="1"/>
    </xf>
    <xf numFmtId="0" fontId="5" fillId="0" borderId="4" xfId="0" applyFont="1" applyBorder="1" applyAlignment="1">
      <alignment vertical="center" wrapText="1"/>
    </xf>
    <xf numFmtId="0" fontId="4" fillId="0" borderId="62" xfId="0" applyFont="1" applyBorder="1" applyAlignment="1">
      <alignment vertical="center" wrapText="1"/>
    </xf>
    <xf numFmtId="0" fontId="5" fillId="0" borderId="9" xfId="0" applyFont="1" applyBorder="1" applyAlignment="1">
      <alignment vertical="center" wrapText="1"/>
    </xf>
    <xf numFmtId="0" fontId="5" fillId="0" borderId="4" xfId="0" applyFont="1" applyBorder="1" applyAlignment="1">
      <alignment horizontal="center" vertical="center" wrapText="1"/>
    </xf>
    <xf numFmtId="0" fontId="4" fillId="0" borderId="64" xfId="0" applyFont="1" applyBorder="1" applyAlignment="1">
      <alignment vertical="center" wrapText="1"/>
    </xf>
    <xf numFmtId="0" fontId="4" fillId="0" borderId="65" xfId="0" applyFont="1" applyBorder="1" applyAlignment="1">
      <alignment vertical="center" wrapText="1"/>
    </xf>
    <xf numFmtId="0" fontId="4" fillId="0" borderId="66" xfId="0" applyFont="1" applyBorder="1" applyAlignment="1">
      <alignment horizontal="center" vertical="center" wrapText="1"/>
    </xf>
    <xf numFmtId="0" fontId="4" fillId="0" borderId="67" xfId="0" applyFont="1" applyBorder="1" applyAlignment="1">
      <alignment vertical="center" wrapText="1"/>
    </xf>
    <xf numFmtId="0" fontId="4" fillId="0" borderId="60" xfId="0" applyFont="1" applyBorder="1" applyAlignment="1">
      <alignment vertical="center" wrapText="1"/>
    </xf>
    <xf numFmtId="0" fontId="5" fillId="0" borderId="59" xfId="0" applyFont="1" applyBorder="1" applyAlignment="1">
      <alignment horizontal="center" vertical="center" wrapText="1"/>
    </xf>
    <xf numFmtId="0" fontId="4" fillId="0" borderId="63" xfId="0" applyFont="1" applyBorder="1" applyAlignment="1">
      <alignment horizontal="center" vertical="center" wrapText="1"/>
    </xf>
    <xf numFmtId="0" fontId="5" fillId="0" borderId="72" xfId="0" applyFont="1" applyBorder="1" applyAlignment="1">
      <alignment horizontal="left" vertical="center" wrapText="1"/>
    </xf>
    <xf numFmtId="0" fontId="5" fillId="0" borderId="70" xfId="0" applyFont="1" applyBorder="1" applyAlignment="1">
      <alignment horizontal="left" vertical="center" wrapText="1"/>
    </xf>
    <xf numFmtId="0" fontId="5" fillId="0" borderId="73" xfId="0" applyFont="1" applyBorder="1" applyAlignment="1">
      <alignment vertical="center" wrapText="1"/>
    </xf>
    <xf numFmtId="0" fontId="4" fillId="0" borderId="74" xfId="0" applyFont="1" applyBorder="1" applyAlignment="1">
      <alignment vertical="center" wrapText="1"/>
    </xf>
    <xf numFmtId="0" fontId="4" fillId="0" borderId="68" xfId="0" applyFont="1" applyBorder="1" applyAlignment="1">
      <alignment horizontal="center" vertical="center" wrapText="1"/>
    </xf>
    <xf numFmtId="0" fontId="4" fillId="0" borderId="3" xfId="0" applyFont="1" applyBorder="1" applyAlignment="1">
      <alignment vertical="center" wrapText="1"/>
    </xf>
    <xf numFmtId="0" fontId="9" fillId="0" borderId="0" xfId="0" applyFont="1" applyAlignment="1">
      <alignment vertical="top"/>
    </xf>
    <xf numFmtId="0" fontId="9" fillId="0" borderId="0" xfId="0" applyFont="1"/>
    <xf numFmtId="1" fontId="0" fillId="0" borderId="76" xfId="0" applyNumberFormat="1" applyBorder="1"/>
    <xf numFmtId="1" fontId="0" fillId="0" borderId="78" xfId="0" applyNumberFormat="1" applyBorder="1"/>
    <xf numFmtId="164" fontId="0" fillId="0" borderId="77" xfId="0" applyNumberFormat="1" applyBorder="1"/>
    <xf numFmtId="164" fontId="0" fillId="0" borderId="79" xfId="0" applyNumberFormat="1" applyBorder="1"/>
    <xf numFmtId="0" fontId="4" fillId="0" borderId="32" xfId="0" applyFont="1" applyBorder="1" applyAlignment="1">
      <alignment vertical="center" wrapText="1"/>
    </xf>
    <xf numFmtId="0" fontId="13" fillId="2" borderId="80" xfId="0" applyFont="1" applyFill="1" applyBorder="1" applyAlignment="1">
      <alignment horizontal="center"/>
    </xf>
    <xf numFmtId="0" fontId="13" fillId="2" borderId="81" xfId="0" applyFont="1" applyFill="1" applyBorder="1" applyAlignment="1">
      <alignment horizontal="center"/>
    </xf>
    <xf numFmtId="0" fontId="5" fillId="0" borderId="75" xfId="0" applyFont="1" applyBorder="1" applyAlignment="1">
      <alignment horizontal="center" vertical="center" wrapText="1"/>
    </xf>
    <xf numFmtId="0" fontId="5" fillId="0" borderId="22" xfId="0" applyFont="1" applyBorder="1" applyAlignment="1">
      <alignment horizontal="center" vertical="center" wrapText="1"/>
    </xf>
    <xf numFmtId="0" fontId="16" fillId="4" borderId="27" xfId="0" applyFont="1" applyFill="1" applyBorder="1" applyAlignment="1">
      <alignment vertical="center" wrapText="1"/>
    </xf>
    <xf numFmtId="0" fontId="5" fillId="4" borderId="60" xfId="0" applyFont="1" applyFill="1" applyBorder="1" applyAlignment="1">
      <alignment vertical="center" wrapText="1"/>
    </xf>
    <xf numFmtId="0" fontId="16" fillId="4" borderId="26" xfId="0" applyFont="1" applyFill="1" applyBorder="1" applyAlignment="1">
      <alignment horizontal="center" vertical="center" wrapText="1"/>
    </xf>
    <xf numFmtId="0" fontId="4" fillId="0" borderId="59" xfId="0" applyFont="1" applyBorder="1" applyAlignment="1">
      <alignment horizontal="center" vertical="center" wrapText="1"/>
    </xf>
    <xf numFmtId="0" fontId="12" fillId="2" borderId="47" xfId="0" applyFont="1" applyFill="1" applyBorder="1" applyAlignment="1">
      <alignment horizontal="center" vertical="center" wrapText="1"/>
    </xf>
    <xf numFmtId="0" fontId="9" fillId="0" borderId="0" xfId="0" applyFont="1" applyAlignment="1">
      <alignment horizontal="left" vertical="center" wrapText="1"/>
    </xf>
    <xf numFmtId="0" fontId="5" fillId="0" borderId="34" xfId="0" applyFont="1" applyBorder="1" applyAlignment="1">
      <alignment horizontal="left" vertical="center" wrapText="1"/>
    </xf>
    <xf numFmtId="0" fontId="10" fillId="0" borderId="0" xfId="0" applyFont="1" applyAlignment="1">
      <alignment horizontal="left"/>
    </xf>
    <xf numFmtId="0" fontId="5" fillId="0" borderId="9" xfId="0" applyFont="1" applyBorder="1" applyAlignment="1">
      <alignment horizontal="center" vertical="center" wrapText="1"/>
    </xf>
    <xf numFmtId="0" fontId="4" fillId="0" borderId="2" xfId="0" applyFont="1" applyBorder="1" applyAlignment="1">
      <alignment horizontal="left"/>
    </xf>
    <xf numFmtId="0" fontId="5" fillId="0" borderId="30" xfId="0" applyFont="1" applyBorder="1" applyAlignment="1">
      <alignment horizontal="left" vertical="center"/>
    </xf>
    <xf numFmtId="0" fontId="5" fillId="0" borderId="34" xfId="0" applyFont="1" applyBorder="1" applyAlignment="1">
      <alignment horizontal="left" vertical="center"/>
    </xf>
    <xf numFmtId="0" fontId="5" fillId="0" borderId="70" xfId="0" applyFont="1" applyBorder="1" applyAlignment="1">
      <alignment horizontal="left" vertical="center"/>
    </xf>
    <xf numFmtId="0" fontId="5" fillId="0" borderId="33" xfId="0" applyFont="1" applyBorder="1" applyAlignment="1" applyProtection="1">
      <alignment horizontal="left" vertical="center" wrapText="1"/>
      <protection locked="0"/>
    </xf>
    <xf numFmtId="164" fontId="4" fillId="0" borderId="0" xfId="0" applyNumberFormat="1" applyFont="1" applyAlignment="1">
      <alignment horizontal="center"/>
    </xf>
    <xf numFmtId="164" fontId="4" fillId="0" borderId="1" xfId="0" applyNumberFormat="1" applyFont="1" applyBorder="1" applyAlignment="1">
      <alignment horizontal="center" vertical="center"/>
    </xf>
    <xf numFmtId="164" fontId="1" fillId="0" borderId="47" xfId="0" applyNumberFormat="1" applyFont="1" applyBorder="1" applyAlignment="1">
      <alignment horizontal="center" vertical="center" wrapText="1"/>
    </xf>
    <xf numFmtId="164" fontId="5" fillId="0" borderId="26" xfId="0" applyNumberFormat="1" applyFont="1" applyBorder="1" applyAlignment="1">
      <alignment horizontal="center" vertical="center" wrapText="1"/>
    </xf>
    <xf numFmtId="164" fontId="1" fillId="0" borderId="8" xfId="0" applyNumberFormat="1" applyFont="1" applyBorder="1" applyAlignment="1">
      <alignment horizontal="center" vertical="center" wrapText="1"/>
    </xf>
    <xf numFmtId="164" fontId="4" fillId="0" borderId="9" xfId="0" applyNumberFormat="1" applyFont="1" applyBorder="1" applyAlignment="1">
      <alignment horizontal="center"/>
    </xf>
    <xf numFmtId="164" fontId="4" fillId="0" borderId="33" xfId="0" applyNumberFormat="1" applyFont="1" applyBorder="1" applyAlignment="1" applyProtection="1">
      <alignment horizontal="center" vertical="center"/>
      <protection locked="0"/>
    </xf>
    <xf numFmtId="164" fontId="5" fillId="0" borderId="36" xfId="0" applyNumberFormat="1" applyFont="1" applyBorder="1" applyAlignment="1">
      <alignment horizontal="right" vertical="center"/>
    </xf>
    <xf numFmtId="164" fontId="5" fillId="0" borderId="72" xfId="0" applyNumberFormat="1" applyFont="1" applyBorder="1" applyAlignment="1">
      <alignment horizontal="right" vertical="center"/>
    </xf>
    <xf numFmtId="164" fontId="5" fillId="0" borderId="0" xfId="0" applyNumberFormat="1" applyFont="1" applyAlignment="1">
      <alignment horizontal="center" vertical="center" wrapText="1"/>
    </xf>
    <xf numFmtId="0" fontId="4" fillId="0" borderId="0" xfId="0" applyFont="1" applyAlignment="1">
      <alignment horizontal="center" vertical="center" wrapText="1"/>
    </xf>
    <xf numFmtId="0" fontId="4" fillId="0" borderId="86" xfId="0" applyFont="1" applyBorder="1" applyAlignment="1">
      <alignment horizontal="left" vertical="center" wrapText="1"/>
    </xf>
    <xf numFmtId="0" fontId="4" fillId="0" borderId="9" xfId="0" applyFont="1" applyBorder="1" applyAlignment="1">
      <alignment vertical="center" wrapText="1"/>
    </xf>
    <xf numFmtId="0" fontId="4" fillId="0" borderId="85" xfId="0" applyFont="1" applyBorder="1" applyAlignment="1">
      <alignment horizontal="left" vertical="center" wrapText="1"/>
    </xf>
    <xf numFmtId="0" fontId="8" fillId="0" borderId="0" xfId="0" applyFont="1"/>
    <xf numFmtId="0" fontId="4" fillId="0" borderId="88" xfId="0" applyFont="1" applyBorder="1" applyAlignment="1">
      <alignment horizontal="center" vertical="center" wrapText="1"/>
    </xf>
    <xf numFmtId="0" fontId="4" fillId="0" borderId="89" xfId="0" applyFont="1" applyBorder="1" applyAlignment="1" applyProtection="1">
      <alignment horizontal="left" vertical="center" wrapText="1"/>
      <protection locked="0"/>
    </xf>
    <xf numFmtId="0" fontId="4" fillId="0" borderId="60" xfId="0" applyFont="1" applyBorder="1" applyAlignment="1">
      <alignment horizontal="left" vertical="center" wrapText="1"/>
    </xf>
    <xf numFmtId="0" fontId="4" fillId="3" borderId="40" xfId="0" applyFont="1" applyFill="1" applyBorder="1" applyAlignment="1">
      <alignment vertical="center" wrapText="1"/>
    </xf>
    <xf numFmtId="0" fontId="4" fillId="3" borderId="2" xfId="0" applyFont="1" applyFill="1" applyBorder="1" applyAlignment="1">
      <alignment vertical="center" wrapText="1"/>
    </xf>
    <xf numFmtId="0" fontId="4" fillId="3" borderId="21" xfId="0" applyFont="1" applyFill="1" applyBorder="1" applyAlignment="1">
      <alignment vertical="center" wrapText="1"/>
    </xf>
    <xf numFmtId="0" fontId="17" fillId="0" borderId="0" xfId="0" applyFont="1" applyAlignment="1">
      <alignment vertical="center"/>
    </xf>
    <xf numFmtId="0" fontId="17" fillId="0" borderId="0" xfId="0" applyFont="1"/>
    <xf numFmtId="0" fontId="9" fillId="0" borderId="0" xfId="0" applyFont="1" applyAlignment="1">
      <alignment horizontal="left"/>
    </xf>
    <xf numFmtId="0" fontId="4" fillId="3" borderId="62" xfId="0" applyFont="1" applyFill="1" applyBorder="1" applyAlignment="1">
      <alignment horizontal="left" vertical="center" wrapText="1"/>
    </xf>
    <xf numFmtId="0" fontId="4" fillId="3" borderId="62" xfId="0" applyFont="1" applyFill="1" applyBorder="1" applyAlignment="1">
      <alignment vertical="center" wrapText="1"/>
    </xf>
    <xf numFmtId="0" fontId="4" fillId="3" borderId="62" xfId="0" applyFont="1" applyFill="1" applyBorder="1" applyAlignment="1">
      <alignment vertical="center"/>
    </xf>
    <xf numFmtId="0" fontId="4" fillId="3" borderId="89" xfId="0" applyFont="1" applyFill="1" applyBorder="1" applyAlignment="1">
      <alignment vertical="center"/>
    </xf>
    <xf numFmtId="0" fontId="4" fillId="3" borderId="0" xfId="0" applyFont="1" applyFill="1" applyAlignment="1">
      <alignment vertical="center"/>
    </xf>
    <xf numFmtId="0" fontId="4" fillId="3" borderId="63" xfId="0" applyFont="1" applyFill="1" applyBorder="1" applyAlignment="1">
      <alignment horizontal="center"/>
    </xf>
    <xf numFmtId="0" fontId="5" fillId="5" borderId="90" xfId="0" applyFont="1" applyFill="1" applyBorder="1" applyAlignment="1">
      <alignment vertical="center" wrapText="1"/>
    </xf>
    <xf numFmtId="0" fontId="4" fillId="5" borderId="20" xfId="0" applyFont="1" applyFill="1" applyBorder="1" applyAlignment="1">
      <alignment vertical="center" wrapText="1"/>
    </xf>
    <xf numFmtId="0" fontId="5" fillId="5" borderId="19" xfId="0" applyFont="1" applyFill="1" applyBorder="1" applyAlignment="1">
      <alignment vertical="center" wrapText="1"/>
    </xf>
    <xf numFmtId="0" fontId="5" fillId="5" borderId="30" xfId="0" applyFont="1" applyFill="1" applyBorder="1" applyAlignment="1">
      <alignment vertical="center" wrapText="1"/>
    </xf>
    <xf numFmtId="0" fontId="4" fillId="5" borderId="32" xfId="0" applyFont="1" applyFill="1" applyBorder="1" applyAlignment="1">
      <alignment vertical="center" wrapText="1"/>
    </xf>
    <xf numFmtId="0" fontId="5" fillId="5" borderId="33" xfId="0" applyFont="1" applyFill="1" applyBorder="1" applyAlignment="1">
      <alignment horizontal="center" vertical="center" wrapText="1"/>
    </xf>
    <xf numFmtId="0" fontId="5" fillId="5" borderId="87" xfId="0" applyFont="1" applyFill="1" applyBorder="1" applyAlignment="1">
      <alignment vertical="center" wrapText="1"/>
    </xf>
    <xf numFmtId="0" fontId="4" fillId="5" borderId="33" xfId="0" applyFont="1" applyFill="1" applyBorder="1" applyAlignment="1">
      <alignment horizontal="center"/>
    </xf>
    <xf numFmtId="0" fontId="4" fillId="0" borderId="62" xfId="0" applyFont="1" applyBorder="1"/>
    <xf numFmtId="0" fontId="2" fillId="0" borderId="1" xfId="0" applyFont="1" applyBorder="1" applyAlignment="1">
      <alignment vertical="center" wrapText="1"/>
    </xf>
    <xf numFmtId="0" fontId="2" fillId="5" borderId="87" xfId="0" applyFont="1" applyFill="1" applyBorder="1" applyAlignment="1">
      <alignment vertical="center" wrapText="1"/>
    </xf>
    <xf numFmtId="0" fontId="4" fillId="0" borderId="71" xfId="0" applyFont="1" applyBorder="1" applyProtection="1">
      <protection locked="0"/>
    </xf>
    <xf numFmtId="0" fontId="4" fillId="0" borderId="58" xfId="0" applyFont="1" applyBorder="1" applyAlignment="1" applyProtection="1">
      <alignment vertical="center" wrapText="1"/>
      <protection locked="0"/>
    </xf>
    <xf numFmtId="0" fontId="4" fillId="0" borderId="71" xfId="0" applyFont="1" applyBorder="1" applyAlignment="1" applyProtection="1">
      <alignment horizontal="center" vertical="center" wrapText="1"/>
      <protection locked="0"/>
    </xf>
    <xf numFmtId="0" fontId="4" fillId="0" borderId="63" xfId="0" applyFont="1" applyBorder="1" applyAlignment="1" applyProtection="1">
      <alignment horizontal="center"/>
      <protection locked="0"/>
    </xf>
    <xf numFmtId="0" fontId="4" fillId="0" borderId="71" xfId="0" applyFont="1" applyBorder="1" applyAlignment="1" applyProtection="1">
      <alignment horizontal="center"/>
      <protection locked="0"/>
    </xf>
    <xf numFmtId="0" fontId="4" fillId="0" borderId="63" xfId="0" applyFont="1" applyBorder="1" applyAlignment="1">
      <alignment horizontal="center"/>
    </xf>
    <xf numFmtId="0" fontId="5" fillId="5" borderId="57" xfId="0" applyFont="1" applyFill="1" applyBorder="1" applyAlignment="1">
      <alignment horizontal="left" vertical="center" wrapText="1"/>
    </xf>
    <xf numFmtId="0" fontId="5" fillId="5" borderId="32"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2" xfId="0" applyFont="1" applyFill="1" applyBorder="1" applyAlignment="1">
      <alignment horizontal="left" vertical="center" wrapText="1"/>
    </xf>
    <xf numFmtId="0" fontId="4" fillId="0" borderId="0" xfId="0" applyFont="1" applyAlignment="1">
      <alignment horizontal="left" vertical="center" wrapText="1"/>
    </xf>
    <xf numFmtId="0" fontId="16" fillId="0" borderId="0" xfId="0" applyFont="1" applyAlignment="1">
      <alignment horizontal="left" vertical="center"/>
    </xf>
    <xf numFmtId="0" fontId="15" fillId="0" borderId="0" xfId="0" applyFont="1" applyAlignment="1">
      <alignment horizontal="left"/>
    </xf>
    <xf numFmtId="0" fontId="17" fillId="0" borderId="0" xfId="0" applyFont="1" applyAlignment="1">
      <alignment horizontal="right"/>
    </xf>
    <xf numFmtId="0" fontId="20" fillId="0" borderId="0" xfId="0" applyFont="1" applyAlignment="1">
      <alignment vertical="center"/>
    </xf>
    <xf numFmtId="0" fontId="21" fillId="0" borderId="0" xfId="0" applyFont="1" applyAlignment="1">
      <alignment vertical="center"/>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1" fillId="0" borderId="56" xfId="0" applyFont="1" applyBorder="1" applyAlignment="1">
      <alignment vertical="center" wrapText="1"/>
    </xf>
    <xf numFmtId="0" fontId="9" fillId="0" borderId="0" xfId="0" applyFont="1" applyAlignment="1">
      <alignment vertical="center" wrapText="1"/>
    </xf>
    <xf numFmtId="0" fontId="9" fillId="0" borderId="10" xfId="0" applyFont="1" applyBorder="1" applyAlignment="1">
      <alignment vertical="center" wrapText="1"/>
    </xf>
    <xf numFmtId="16" fontId="9" fillId="0" borderId="11" xfId="0" quotePrefix="1" applyNumberFormat="1" applyFont="1" applyBorder="1" applyAlignment="1">
      <alignment horizontal="center" vertical="center" wrapText="1"/>
    </xf>
    <xf numFmtId="0" fontId="22" fillId="0" borderId="19" xfId="0" applyFont="1" applyBorder="1" applyAlignment="1">
      <alignment vertical="center" wrapText="1"/>
    </xf>
    <xf numFmtId="0" fontId="9" fillId="0" borderId="13" xfId="0" applyFont="1" applyBorder="1" applyAlignment="1">
      <alignment vertical="center" wrapText="1"/>
    </xf>
    <xf numFmtId="17" fontId="9" fillId="0" borderId="14" xfId="0" quotePrefix="1" applyNumberFormat="1" applyFont="1" applyBorder="1" applyAlignment="1">
      <alignment horizontal="center" vertical="center" wrapText="1"/>
    </xf>
    <xf numFmtId="0" fontId="22" fillId="0" borderId="14" xfId="0" applyFont="1" applyBorder="1" applyAlignment="1">
      <alignment horizontal="left" vertical="center" wrapText="1"/>
    </xf>
    <xf numFmtId="16" fontId="9" fillId="0" borderId="14" xfId="0" quotePrefix="1" applyNumberFormat="1" applyFont="1" applyBorder="1" applyAlignment="1">
      <alignment horizontal="center" vertical="center" wrapText="1"/>
    </xf>
    <xf numFmtId="0" fontId="9" fillId="0" borderId="16" xfId="0" applyFont="1" applyBorder="1" applyAlignment="1">
      <alignment vertical="center" wrapText="1"/>
    </xf>
    <xf numFmtId="0" fontId="22" fillId="0" borderId="17" xfId="0" applyFont="1" applyBorder="1" applyAlignment="1">
      <alignment horizontal="left" vertical="center" wrapText="1"/>
    </xf>
    <xf numFmtId="0" fontId="22" fillId="0" borderId="11" xfId="0" applyFont="1" applyBorder="1" applyAlignment="1" applyProtection="1">
      <alignment horizontal="left" vertical="center" wrapText="1"/>
      <protection locked="0"/>
    </xf>
    <xf numFmtId="0" fontId="22" fillId="0" borderId="14" xfId="0" applyFont="1" applyBorder="1" applyAlignment="1" applyProtection="1">
      <alignment horizontal="left" vertical="center" wrapText="1"/>
      <protection locked="0"/>
    </xf>
    <xf numFmtId="0" fontId="22" fillId="0" borderId="42" xfId="0" applyFont="1" applyBorder="1" applyAlignment="1" applyProtection="1">
      <alignment horizontal="left" vertical="center" wrapText="1"/>
      <protection locked="0"/>
    </xf>
    <xf numFmtId="0" fontId="9" fillId="0" borderId="11" xfId="0" applyFont="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164" fontId="9" fillId="0" borderId="12" xfId="0" applyNumberFormat="1" applyFont="1" applyBorder="1" applyAlignment="1" applyProtection="1">
      <alignment horizontal="center" vertical="center" wrapText="1"/>
      <protection locked="0"/>
    </xf>
    <xf numFmtId="164" fontId="9" fillId="0" borderId="15" xfId="0" applyNumberFormat="1" applyFont="1" applyBorder="1" applyAlignment="1" applyProtection="1">
      <alignment horizontal="center" vertical="center" wrapText="1"/>
      <protection locked="0"/>
    </xf>
    <xf numFmtId="164" fontId="9" fillId="0" borderId="18" xfId="0" applyNumberFormat="1" applyFont="1" applyBorder="1" applyAlignment="1" applyProtection="1">
      <alignment horizontal="center" vertical="center" wrapText="1"/>
      <protection locked="0"/>
    </xf>
    <xf numFmtId="0" fontId="9" fillId="0" borderId="23" xfId="0" applyFont="1" applyBorder="1" applyAlignment="1">
      <alignment vertical="center" wrapText="1"/>
    </xf>
    <xf numFmtId="16" fontId="9" fillId="0" borderId="24" xfId="0" quotePrefix="1" applyNumberFormat="1" applyFont="1" applyBorder="1" applyAlignment="1">
      <alignment horizontal="center" vertical="center" wrapText="1"/>
    </xf>
    <xf numFmtId="0" fontId="22" fillId="0" borderId="24" xfId="0" applyFont="1" applyBorder="1" applyAlignment="1">
      <alignment horizontal="left" vertical="center" wrapText="1"/>
    </xf>
    <xf numFmtId="0" fontId="9" fillId="0" borderId="24" xfId="0" applyFont="1" applyBorder="1" applyAlignment="1" applyProtection="1">
      <alignment horizontal="center" vertical="center" wrapText="1"/>
      <protection locked="0"/>
    </xf>
    <xf numFmtId="164" fontId="9" fillId="0" borderId="25" xfId="0" applyNumberFormat="1" applyFont="1" applyBorder="1" applyAlignment="1" applyProtection="1">
      <alignment horizontal="center" vertical="center" wrapText="1"/>
      <protection locked="0"/>
    </xf>
    <xf numFmtId="0" fontId="9" fillId="0" borderId="14" xfId="0" applyFont="1" applyBorder="1" applyAlignment="1" applyProtection="1">
      <alignment horizontal="left" vertical="center" wrapText="1"/>
      <protection locked="0"/>
    </xf>
    <xf numFmtId="0" fontId="9" fillId="0" borderId="30" xfId="0" applyFont="1" applyBorder="1" applyAlignment="1">
      <alignment vertical="center" wrapText="1"/>
    </xf>
    <xf numFmtId="0" fontId="9" fillId="0" borderId="31" xfId="0" applyFont="1" applyBorder="1" applyAlignment="1">
      <alignment horizontal="center" vertical="center" wrapText="1"/>
    </xf>
    <xf numFmtId="0" fontId="9" fillId="0" borderId="11" xfId="0" applyFont="1" applyBorder="1" applyAlignment="1" applyProtection="1">
      <alignment horizontal="left" vertical="center" wrapText="1"/>
      <protection locked="0"/>
    </xf>
    <xf numFmtId="0" fontId="9" fillId="0" borderId="34" xfId="0" applyFont="1" applyBorder="1" applyAlignment="1">
      <alignment vertical="center" wrapText="1"/>
    </xf>
    <xf numFmtId="0" fontId="9" fillId="0" borderId="41" xfId="0" applyFont="1" applyBorder="1" applyAlignment="1">
      <alignment horizontal="center" vertical="center" wrapText="1"/>
    </xf>
    <xf numFmtId="16" fontId="9" fillId="0" borderId="17" xfId="0" quotePrefix="1" applyNumberFormat="1" applyFont="1" applyBorder="1" applyAlignment="1">
      <alignment horizontal="center" vertical="center" wrapText="1"/>
    </xf>
    <xf numFmtId="0" fontId="9" fillId="0" borderId="17" xfId="0" applyFont="1" applyBorder="1" applyAlignment="1" applyProtection="1">
      <alignment horizontal="left" vertical="center" wrapText="1"/>
      <protection locked="0"/>
    </xf>
    <xf numFmtId="0" fontId="9" fillId="0" borderId="37" xfId="0" applyFont="1" applyBorder="1" applyAlignment="1">
      <alignment vertical="center" wrapText="1"/>
    </xf>
    <xf numFmtId="0" fontId="9" fillId="0" borderId="45" xfId="0" applyFont="1" applyBorder="1" applyAlignment="1">
      <alignment horizontal="center" vertical="center" wrapText="1"/>
    </xf>
    <xf numFmtId="1" fontId="9" fillId="0" borderId="11" xfId="0" quotePrefix="1" applyNumberFormat="1" applyFont="1" applyBorder="1" applyAlignment="1">
      <alignment horizontal="center" vertical="center" wrapText="1"/>
    </xf>
    <xf numFmtId="1" fontId="9" fillId="0" borderId="14" xfId="0" quotePrefix="1" applyNumberFormat="1" applyFont="1" applyBorder="1" applyAlignment="1">
      <alignment horizontal="center" vertical="center" wrapText="1"/>
    </xf>
    <xf numFmtId="1" fontId="9" fillId="0" borderId="14" xfId="0" applyNumberFormat="1" applyFont="1" applyBorder="1" applyAlignment="1">
      <alignment horizontal="center" vertical="center" wrapText="1"/>
    </xf>
    <xf numFmtId="1" fontId="9" fillId="0" borderId="17" xfId="0" quotePrefix="1" applyNumberFormat="1" applyFont="1" applyBorder="1" applyAlignment="1">
      <alignment horizontal="center" vertical="center" wrapText="1"/>
    </xf>
    <xf numFmtId="1" fontId="9" fillId="0" borderId="17" xfId="0" applyNumberFormat="1" applyFont="1" applyBorder="1" applyAlignment="1">
      <alignment horizontal="center" vertical="center" wrapText="1"/>
    </xf>
    <xf numFmtId="0" fontId="9" fillId="0" borderId="50" xfId="0" applyFont="1" applyBorder="1" applyAlignment="1">
      <alignment vertical="center" wrapText="1"/>
    </xf>
    <xf numFmtId="0" fontId="22" fillId="0" borderId="49" xfId="0" applyFont="1" applyBorder="1" applyAlignment="1">
      <alignment horizontal="left" vertical="center" wrapText="1"/>
    </xf>
    <xf numFmtId="0" fontId="9" fillId="0" borderId="17" xfId="0" quotePrefix="1" applyFont="1" applyBorder="1" applyAlignment="1">
      <alignment horizontal="center" vertical="center" wrapText="1"/>
    </xf>
    <xf numFmtId="0" fontId="2" fillId="0" borderId="3" xfId="0" applyFont="1" applyBorder="1" applyAlignment="1">
      <alignment vertical="center" wrapText="1"/>
    </xf>
    <xf numFmtId="0" fontId="11" fillId="0" borderId="0" xfId="0" applyFont="1" applyAlignment="1">
      <alignment vertical="center"/>
    </xf>
    <xf numFmtId="0" fontId="4" fillId="0" borderId="0" xfId="0" applyFont="1" applyAlignment="1">
      <alignment horizontal="left" vertical="center"/>
    </xf>
    <xf numFmtId="164" fontId="4" fillId="0" borderId="0" xfId="0" applyNumberFormat="1" applyFont="1" applyAlignment="1">
      <alignment horizontal="center" vertical="center"/>
    </xf>
    <xf numFmtId="0" fontId="2" fillId="0" borderId="0" xfId="0" applyFont="1" applyAlignment="1">
      <alignment vertical="center" wrapText="1"/>
    </xf>
    <xf numFmtId="0" fontId="18" fillId="0" borderId="2" xfId="0" applyFont="1" applyBorder="1" applyAlignment="1" applyProtection="1">
      <alignment horizontal="left" vertical="center" wrapText="1"/>
      <protection locked="0"/>
    </xf>
    <xf numFmtId="0" fontId="4" fillId="5" borderId="33" xfId="0" applyFont="1" applyFill="1" applyBorder="1" applyAlignment="1">
      <alignment vertical="center" wrapText="1"/>
    </xf>
    <xf numFmtId="0" fontId="4" fillId="0" borderId="39" xfId="0" applyFont="1" applyBorder="1" applyAlignment="1">
      <alignment vertical="center" wrapText="1"/>
    </xf>
    <xf numFmtId="0" fontId="2" fillId="3" borderId="27" xfId="0" applyFont="1" applyFill="1" applyBorder="1" applyAlignment="1">
      <alignment vertical="center" wrapText="1"/>
    </xf>
    <xf numFmtId="0" fontId="15" fillId="0" borderId="85" xfId="0" applyFont="1" applyBorder="1" applyAlignment="1">
      <alignment horizontal="left" vertical="center" wrapText="1"/>
    </xf>
    <xf numFmtId="0" fontId="19" fillId="3" borderId="85" xfId="0" applyFont="1" applyFill="1" applyBorder="1" applyAlignment="1">
      <alignment horizontal="left" vertical="center" wrapText="1"/>
    </xf>
    <xf numFmtId="0" fontId="4" fillId="0" borderId="0" xfId="0" applyFont="1" applyAlignment="1">
      <alignment wrapText="1"/>
    </xf>
    <xf numFmtId="0" fontId="18" fillId="0" borderId="85" xfId="0" applyFont="1" applyBorder="1" applyAlignment="1" applyProtection="1">
      <alignment horizontal="left" vertical="center" wrapText="1"/>
      <protection locked="0"/>
    </xf>
    <xf numFmtId="0" fontId="4" fillId="3" borderId="27" xfId="0" applyFont="1" applyFill="1" applyBorder="1" applyAlignment="1">
      <alignment vertical="center"/>
    </xf>
    <xf numFmtId="0" fontId="4" fillId="3" borderId="85" xfId="0" applyFont="1" applyFill="1" applyBorder="1" applyAlignment="1">
      <alignment horizontal="right" vertical="center"/>
    </xf>
    <xf numFmtId="0" fontId="9" fillId="0" borderId="40" xfId="0" applyFont="1" applyBorder="1" applyAlignment="1" applyProtection="1">
      <alignment vertical="center"/>
      <protection locked="0"/>
    </xf>
    <xf numFmtId="0" fontId="9" fillId="0" borderId="85" xfId="0" applyFont="1" applyBorder="1" applyAlignment="1" applyProtection="1">
      <alignment horizontal="right" vertical="center"/>
      <protection locked="0"/>
    </xf>
    <xf numFmtId="0" fontId="9" fillId="0" borderId="24" xfId="0" applyFont="1"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18" fillId="0" borderId="2" xfId="0" quotePrefix="1" applyFont="1" applyBorder="1" applyAlignment="1" applyProtection="1">
      <alignment horizontal="left" vertical="center" wrapText="1"/>
      <protection locked="0"/>
    </xf>
    <xf numFmtId="0" fontId="18" fillId="0" borderId="85" xfId="0" quotePrefix="1" applyFont="1" applyBorder="1" applyAlignment="1" applyProtection="1">
      <alignment horizontal="left" vertical="center" wrapText="1"/>
      <protection locked="0"/>
    </xf>
    <xf numFmtId="0" fontId="4" fillId="0" borderId="61" xfId="0" quotePrefix="1" applyFont="1" applyBorder="1" applyAlignment="1" applyProtection="1">
      <alignment horizontal="left" vertical="center" wrapText="1"/>
      <protection locked="0"/>
    </xf>
    <xf numFmtId="0" fontId="5" fillId="5" borderId="30" xfId="0" applyFont="1" applyFill="1" applyBorder="1" applyAlignment="1">
      <alignment horizontal="left" vertical="center" wrapText="1"/>
    </xf>
    <xf numFmtId="0" fontId="5" fillId="5" borderId="32" xfId="0" applyFont="1" applyFill="1" applyBorder="1" applyAlignment="1">
      <alignment horizontal="left" vertical="center" wrapText="1"/>
    </xf>
    <xf numFmtId="0" fontId="5" fillId="5" borderId="33" xfId="0" applyFont="1" applyFill="1" applyBorder="1" applyAlignment="1">
      <alignment horizontal="left" vertical="center" wrapText="1"/>
    </xf>
    <xf numFmtId="0" fontId="15" fillId="0" borderId="9" xfId="0" applyFont="1" applyBorder="1" applyAlignment="1" applyProtection="1">
      <alignment horizontal="left" vertical="center" wrapText="1"/>
      <protection locked="0"/>
    </xf>
    <xf numFmtId="0" fontId="15" fillId="0" borderId="85" xfId="0" applyFont="1" applyBorder="1" applyAlignment="1" applyProtection="1">
      <alignment horizontal="left" vertical="center" wrapText="1"/>
      <protection locked="0"/>
    </xf>
    <xf numFmtId="0" fontId="9" fillId="0" borderId="40" xfId="0" applyFont="1" applyBorder="1" applyAlignment="1" applyProtection="1">
      <alignment horizontal="left" vertical="center"/>
      <protection locked="0"/>
    </xf>
    <xf numFmtId="0" fontId="9" fillId="0" borderId="61" xfId="0" applyFont="1" applyBorder="1" applyAlignment="1" applyProtection="1">
      <alignment horizontal="left" vertical="center"/>
      <protection locked="0"/>
    </xf>
    <xf numFmtId="0" fontId="8" fillId="0" borderId="2" xfId="0" applyFont="1" applyBorder="1" applyAlignment="1" applyProtection="1">
      <alignment horizontal="center" vertical="center"/>
      <protection locked="0"/>
    </xf>
    <xf numFmtId="0" fontId="8" fillId="0" borderId="71" xfId="0" applyFont="1" applyBorder="1" applyAlignment="1" applyProtection="1">
      <alignment horizontal="center" vertical="center"/>
      <protection locked="0"/>
    </xf>
    <xf numFmtId="0" fontId="2" fillId="3" borderId="91" xfId="0" applyFont="1" applyFill="1" applyBorder="1" applyAlignment="1">
      <alignment horizontal="left" vertical="center" wrapText="1"/>
    </xf>
    <xf numFmtId="0" fontId="2" fillId="3" borderId="40" xfId="0" applyFont="1" applyFill="1" applyBorder="1" applyAlignment="1">
      <alignment horizontal="left" vertical="center" wrapText="1"/>
    </xf>
    <xf numFmtId="0" fontId="5" fillId="5" borderId="9" xfId="0" applyFont="1" applyFill="1" applyBorder="1" applyAlignment="1">
      <alignment horizontal="left" vertical="center" wrapText="1"/>
    </xf>
    <xf numFmtId="0" fontId="5" fillId="5" borderId="85" xfId="0" applyFont="1" applyFill="1" applyBorder="1" applyAlignment="1">
      <alignment horizontal="left" vertical="center" wrapText="1"/>
    </xf>
    <xf numFmtId="0" fontId="4" fillId="0" borderId="69" xfId="0" applyFont="1" applyBorder="1" applyAlignment="1" applyProtection="1">
      <alignment horizontal="left" vertical="center" wrapText="1"/>
      <protection locked="0"/>
    </xf>
    <xf numFmtId="0" fontId="0" fillId="0" borderId="84" xfId="0" applyBorder="1" applyAlignment="1">
      <alignment vertical="center" wrapText="1"/>
    </xf>
    <xf numFmtId="0" fontId="4" fillId="0" borderId="62" xfId="0" applyFont="1" applyBorder="1" applyAlignment="1" applyProtection="1">
      <alignment horizontal="left" vertical="center" wrapText="1"/>
      <protection locked="0"/>
    </xf>
    <xf numFmtId="0" fontId="0" fillId="0" borderId="63" xfId="0" applyBorder="1" applyAlignment="1">
      <alignment vertical="center" wrapText="1"/>
    </xf>
    <xf numFmtId="0" fontId="4" fillId="0" borderId="70" xfId="0" applyFont="1" applyBorder="1" applyAlignment="1" applyProtection="1">
      <alignment horizontal="left" vertical="center" wrapText="1"/>
      <protection locked="0"/>
    </xf>
    <xf numFmtId="0" fontId="0" fillId="0" borderId="72" xfId="0" applyBorder="1" applyAlignment="1">
      <alignment vertical="center" wrapText="1"/>
    </xf>
    <xf numFmtId="0" fontId="4" fillId="0" borderId="40" xfId="0" applyFont="1" applyBorder="1" applyAlignment="1" applyProtection="1">
      <alignment horizontal="left" vertical="center" wrapText="1"/>
      <protection locked="0"/>
    </xf>
    <xf numFmtId="0" fontId="0" fillId="0" borderId="71" xfId="0" applyBorder="1" applyAlignment="1">
      <alignment vertical="center" wrapText="1"/>
    </xf>
    <xf numFmtId="0" fontId="2" fillId="2" borderId="4" xfId="0" applyFont="1" applyFill="1" applyBorder="1" applyAlignment="1">
      <alignment vertical="center" wrapText="1"/>
    </xf>
    <xf numFmtId="0" fontId="10" fillId="0" borderId="0" xfId="0" applyFont="1" applyAlignment="1">
      <alignment horizontal="left" wrapText="1"/>
    </xf>
    <xf numFmtId="0" fontId="2" fillId="2" borderId="3" xfId="0" applyFont="1" applyFill="1" applyBorder="1" applyAlignment="1">
      <alignment vertical="center" wrapText="1"/>
    </xf>
    <xf numFmtId="0" fontId="2" fillId="2" borderId="1" xfId="0" applyFont="1" applyFill="1" applyBorder="1" applyAlignment="1">
      <alignment vertical="center" wrapText="1"/>
    </xf>
    <xf numFmtId="0" fontId="15" fillId="0" borderId="3" xfId="0" applyFont="1" applyBorder="1" applyAlignment="1">
      <alignment horizontal="left" vertical="center" wrapText="1"/>
    </xf>
    <xf numFmtId="0" fontId="0" fillId="0" borderId="3" xfId="0" applyBorder="1" applyAlignment="1">
      <alignment horizontal="left" vertical="center" wrapText="1"/>
    </xf>
    <xf numFmtId="0" fontId="5" fillId="3" borderId="5" xfId="0" applyFont="1" applyFill="1" applyBorder="1" applyAlignment="1">
      <alignment vertical="center" wrapText="1"/>
    </xf>
    <xf numFmtId="0" fontId="5" fillId="3" borderId="6" xfId="0" applyFont="1" applyFill="1" applyBorder="1" applyAlignment="1">
      <alignment vertical="center" wrapText="1"/>
    </xf>
    <xf numFmtId="0" fontId="5" fillId="3" borderId="7" xfId="0" applyFont="1" applyFill="1" applyBorder="1" applyAlignment="1">
      <alignment vertical="center" wrapText="1"/>
    </xf>
    <xf numFmtId="0" fontId="5" fillId="3" borderId="13" xfId="0" applyFont="1" applyFill="1" applyBorder="1" applyAlignment="1">
      <alignment vertical="center" wrapText="1"/>
    </xf>
    <xf numFmtId="0" fontId="5" fillId="3" borderId="14" xfId="0" applyFont="1" applyFill="1" applyBorder="1" applyAlignment="1">
      <alignment vertical="center" wrapText="1"/>
    </xf>
    <xf numFmtId="0" fontId="5" fillId="3" borderId="41" xfId="0" applyFont="1" applyFill="1" applyBorder="1" applyAlignment="1">
      <alignment vertical="center" wrapText="1"/>
    </xf>
    <xf numFmtId="0" fontId="5" fillId="3" borderId="44" xfId="0" applyFont="1" applyFill="1" applyBorder="1" applyAlignment="1">
      <alignment vertical="center" wrapText="1"/>
    </xf>
    <xf numFmtId="0" fontId="5" fillId="3" borderId="15" xfId="0" applyFont="1" applyFill="1" applyBorder="1" applyAlignment="1">
      <alignment vertical="center" wrapText="1"/>
    </xf>
    <xf numFmtId="0" fontId="7" fillId="0" borderId="9" xfId="0" applyFont="1" applyBorder="1" applyAlignment="1">
      <alignment vertical="center" wrapText="1"/>
    </xf>
    <xf numFmtId="14" fontId="4" fillId="0" borderId="31" xfId="0" applyNumberFormat="1" applyFont="1" applyBorder="1" applyAlignment="1" applyProtection="1">
      <alignment horizontal="left" vertical="center" wrapText="1"/>
      <protection locked="0"/>
    </xf>
    <xf numFmtId="0" fontId="4" fillId="0" borderId="32" xfId="0" applyFont="1" applyBorder="1" applyAlignment="1" applyProtection="1">
      <alignment horizontal="left" vertical="center" wrapText="1"/>
      <protection locked="0"/>
    </xf>
    <xf numFmtId="0" fontId="4" fillId="0" borderId="33" xfId="0" applyFont="1" applyBorder="1" applyAlignment="1" applyProtection="1">
      <alignment horizontal="left" vertical="center" wrapText="1"/>
      <protection locked="0"/>
    </xf>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5" fillId="0" borderId="36" xfId="0" applyFont="1" applyBorder="1" applyAlignment="1">
      <alignment horizontal="left" vertical="center" wrapText="1"/>
    </xf>
    <xf numFmtId="0" fontId="4" fillId="0" borderId="34" xfId="0" applyFont="1" applyBorder="1" applyAlignment="1" applyProtection="1">
      <alignment horizontal="left" vertical="center" wrapText="1"/>
      <protection locked="0"/>
    </xf>
    <xf numFmtId="0" fontId="4" fillId="0" borderId="35" xfId="0" applyFont="1" applyBorder="1" applyAlignment="1" applyProtection="1">
      <alignment horizontal="left" vertical="center" wrapText="1"/>
      <protection locked="0"/>
    </xf>
    <xf numFmtId="0" fontId="4" fillId="0" borderId="36" xfId="0" applyFont="1" applyBorder="1" applyAlignment="1" applyProtection="1">
      <alignment horizontal="left" vertical="center" wrapText="1"/>
      <protection locked="0"/>
    </xf>
    <xf numFmtId="0" fontId="5" fillId="0" borderId="55" xfId="0" applyFont="1" applyBorder="1" applyAlignment="1">
      <alignment vertical="center" wrapText="1"/>
    </xf>
    <xf numFmtId="0" fontId="5" fillId="0" borderId="56" xfId="0" applyFont="1" applyBorder="1" applyAlignment="1">
      <alignment vertical="center" wrapText="1"/>
    </xf>
    <xf numFmtId="0" fontId="24" fillId="0" borderId="31" xfId="0" applyFont="1" applyBorder="1" applyAlignment="1">
      <alignment vertical="center" wrapText="1"/>
    </xf>
    <xf numFmtId="0" fontId="17" fillId="0" borderId="57" xfId="0" applyFont="1" applyBorder="1" applyAlignment="1">
      <alignment vertical="center" wrapText="1"/>
    </xf>
    <xf numFmtId="0" fontId="24" fillId="0" borderId="41" xfId="0" applyFont="1" applyBorder="1" applyAlignment="1">
      <alignment vertical="center" wrapText="1"/>
    </xf>
    <xf numFmtId="0" fontId="17" fillId="0" borderId="44" xfId="0" applyFont="1" applyBorder="1" applyAlignment="1">
      <alignment vertical="center" wrapText="1"/>
    </xf>
    <xf numFmtId="0" fontId="24" fillId="0" borderId="45" xfId="0" applyFont="1" applyBorder="1" applyAlignment="1">
      <alignment vertical="center" wrapText="1"/>
    </xf>
    <xf numFmtId="0" fontId="17" fillId="0" borderId="58" xfId="0" applyFont="1" applyBorder="1" applyAlignment="1">
      <alignment vertical="center" wrapText="1"/>
    </xf>
    <xf numFmtId="0" fontId="9" fillId="0" borderId="0" xfId="0" applyFont="1" applyAlignment="1">
      <alignment horizontal="left" vertical="center" wrapText="1"/>
    </xf>
    <xf numFmtId="0" fontId="4" fillId="0" borderId="69" xfId="0" applyFont="1" applyBorder="1" applyAlignment="1" applyProtection="1">
      <alignment horizontal="left" vertical="center"/>
      <protection locked="0"/>
    </xf>
    <xf numFmtId="0" fontId="4" fillId="0" borderId="84" xfId="0" applyFont="1" applyBorder="1" applyAlignment="1" applyProtection="1">
      <alignment horizontal="left" vertical="center"/>
      <protection locked="0"/>
    </xf>
    <xf numFmtId="0" fontId="4" fillId="0" borderId="62" xfId="0" applyFont="1" applyBorder="1" applyAlignment="1" applyProtection="1">
      <alignment horizontal="left" vertical="center"/>
      <protection locked="0"/>
    </xf>
    <xf numFmtId="0" fontId="4" fillId="0" borderId="63" xfId="0" applyFont="1" applyBorder="1" applyAlignment="1" applyProtection="1">
      <alignment horizontal="left" vertical="center"/>
      <protection locked="0"/>
    </xf>
    <xf numFmtId="0" fontId="4" fillId="0" borderId="70" xfId="0" applyFont="1" applyBorder="1" applyAlignment="1" applyProtection="1">
      <alignment horizontal="left" vertical="center"/>
      <protection locked="0"/>
    </xf>
    <xf numFmtId="0" fontId="4" fillId="0" borderId="72" xfId="0" applyFont="1" applyBorder="1" applyAlignment="1" applyProtection="1">
      <alignment horizontal="left" vertical="center"/>
      <protection locked="0"/>
    </xf>
    <xf numFmtId="0" fontId="4" fillId="0" borderId="40" xfId="0" applyFont="1" applyBorder="1" applyAlignment="1" applyProtection="1">
      <alignment horizontal="left" vertical="center"/>
      <protection locked="0"/>
    </xf>
    <xf numFmtId="0" fontId="4" fillId="0" borderId="71" xfId="0" applyFont="1" applyBorder="1" applyAlignment="1" applyProtection="1">
      <alignment horizontal="left" vertical="center"/>
      <protection locked="0"/>
    </xf>
    <xf numFmtId="0" fontId="4" fillId="0" borderId="37" xfId="0" applyFont="1" applyBorder="1" applyAlignment="1" applyProtection="1">
      <alignment horizontal="left" vertical="center" wrapText="1"/>
      <protection locked="0"/>
    </xf>
    <xf numFmtId="0" fontId="4" fillId="0" borderId="38" xfId="0" applyFont="1" applyBorder="1" applyAlignment="1" applyProtection="1">
      <alignment horizontal="left" vertical="center" wrapText="1"/>
      <protection locked="0"/>
    </xf>
    <xf numFmtId="0" fontId="4" fillId="0" borderId="39" xfId="0" applyFont="1" applyBorder="1" applyAlignment="1" applyProtection="1">
      <alignment horizontal="left" vertical="center" wrapText="1"/>
      <protection locked="0"/>
    </xf>
    <xf numFmtId="0" fontId="4" fillId="0" borderId="31" xfId="0" applyFont="1" applyBorder="1" applyAlignment="1" applyProtection="1">
      <alignment horizontal="left" vertical="center" wrapText="1"/>
      <protection locked="0"/>
    </xf>
    <xf numFmtId="0" fontId="10" fillId="0" borderId="0" xfId="0" applyFont="1" applyAlignment="1">
      <alignment horizontal="left"/>
    </xf>
    <xf numFmtId="0" fontId="1" fillId="3" borderId="9" xfId="0" applyFont="1" applyFill="1" applyBorder="1" applyAlignment="1">
      <alignment horizontal="left" vertical="center" wrapText="1"/>
    </xf>
    <xf numFmtId="0" fontId="0" fillId="3" borderId="9" xfId="0" applyFill="1" applyBorder="1" applyAlignment="1">
      <alignment horizontal="left" vertical="center" wrapText="1"/>
    </xf>
    <xf numFmtId="0" fontId="5" fillId="3" borderId="34" xfId="0" applyFont="1" applyFill="1" applyBorder="1" applyAlignment="1">
      <alignment vertical="center" wrapText="1"/>
    </xf>
    <xf numFmtId="0" fontId="13" fillId="3" borderId="35" xfId="0" applyFont="1" applyFill="1" applyBorder="1" applyAlignment="1">
      <alignment vertical="center" wrapText="1"/>
    </xf>
    <xf numFmtId="0" fontId="13" fillId="3" borderId="36" xfId="0" applyFont="1" applyFill="1" applyBorder="1" applyAlignment="1">
      <alignment vertical="center" wrapText="1"/>
    </xf>
    <xf numFmtId="1" fontId="9" fillId="0" borderId="19" xfId="0" quotePrefix="1" applyNumberFormat="1" applyFont="1" applyBorder="1" applyAlignment="1">
      <alignment horizontal="center" vertical="center" wrapText="1"/>
    </xf>
    <xf numFmtId="0" fontId="17" fillId="0" borderId="48" xfId="0" applyFont="1" applyBorder="1" applyAlignment="1">
      <alignment horizontal="center" vertical="center" wrapText="1"/>
    </xf>
    <xf numFmtId="0" fontId="17" fillId="0" borderId="49" xfId="0" applyFont="1" applyBorder="1" applyAlignment="1">
      <alignment horizontal="center" vertical="center" wrapText="1"/>
    </xf>
    <xf numFmtId="1" fontId="9" fillId="0" borderId="42" xfId="0" applyNumberFormat="1" applyFont="1" applyBorder="1" applyAlignment="1">
      <alignment horizontal="center" vertical="center" wrapText="1"/>
    </xf>
    <xf numFmtId="0" fontId="17" fillId="0" borderId="21" xfId="0" applyFont="1" applyBorder="1" applyAlignment="1">
      <alignment horizontal="center" vertical="center" wrapText="1"/>
    </xf>
    <xf numFmtId="164" fontId="9" fillId="0" borderId="51" xfId="0" applyNumberFormat="1" applyFont="1" applyBorder="1" applyAlignment="1" applyProtection="1">
      <alignment horizontal="center" vertical="center" wrapText="1"/>
      <protection locked="0"/>
    </xf>
    <xf numFmtId="164" fontId="17" fillId="0" borderId="52" xfId="0" applyNumberFormat="1" applyFont="1" applyBorder="1" applyAlignment="1" applyProtection="1">
      <alignment horizontal="center" vertical="center" wrapText="1"/>
      <protection locked="0"/>
    </xf>
    <xf numFmtId="164" fontId="17" fillId="0" borderId="53" xfId="0" applyNumberFormat="1" applyFont="1" applyBorder="1" applyAlignment="1" applyProtection="1">
      <alignment horizontal="center" vertical="center" wrapText="1"/>
      <protection locked="0"/>
    </xf>
    <xf numFmtId="164" fontId="9" fillId="0" borderId="54" xfId="0" applyNumberFormat="1" applyFont="1" applyBorder="1" applyAlignment="1" applyProtection="1">
      <alignment horizontal="center" vertical="center" wrapText="1"/>
      <protection locked="0"/>
    </xf>
    <xf numFmtId="164" fontId="17" fillId="0" borderId="22" xfId="0" applyNumberFormat="1" applyFont="1" applyBorder="1" applyAlignment="1" applyProtection="1">
      <alignment horizontal="center" vertical="center" wrapText="1"/>
      <protection locked="0"/>
    </xf>
    <xf numFmtId="0" fontId="13" fillId="0" borderId="82" xfId="0" applyFont="1" applyBorder="1" applyAlignment="1">
      <alignment horizontal="center" wrapText="1"/>
    </xf>
    <xf numFmtId="0" fontId="13" fillId="0" borderId="83" xfId="0" applyFont="1" applyBorder="1" applyAlignment="1">
      <alignment horizontal="center" wrapText="1"/>
    </xf>
  </cellXfs>
  <cellStyles count="1">
    <cellStyle name="Standard" xfId="0" builtinId="0"/>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checked="Checked" fmlaLink="Notentabellen!$A$35" lockText="1" noThreeD="1"/>
</file>

<file path=xl/ctrlProps/ctrlProp2.xml><?xml version="1.0" encoding="utf-8"?>
<formControlPr xmlns="http://schemas.microsoft.com/office/spreadsheetml/2009/9/main" objectType="CheckBox" fmlaLink="Notentabellen!$A$36" lockText="1" noThreeD="1"/>
</file>

<file path=xl/ctrlProps/ctrlProp3.xml><?xml version="1.0" encoding="utf-8"?>
<formControlPr xmlns="http://schemas.microsoft.com/office/spreadsheetml/2009/9/main" objectType="CheckBox" fmlaLink="Notentabellen!$A$38" lockText="1" noThreeD="1"/>
</file>

<file path=xl/ctrlProps/ctrlProp4.xml><?xml version="1.0" encoding="utf-8"?>
<formControlPr xmlns="http://schemas.microsoft.com/office/spreadsheetml/2009/9/main" objectType="CheckBox" checked="Checked" fmlaLink="Notentabellen!$A$39"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1154430</xdr:colOff>
      <xdr:row>0</xdr:row>
      <xdr:rowOff>73157</xdr:rowOff>
    </xdr:from>
    <xdr:to>
      <xdr:col>3</xdr:col>
      <xdr:colOff>2030341</xdr:colOff>
      <xdr:row>0</xdr:row>
      <xdr:rowOff>328502</xdr:rowOff>
    </xdr:to>
    <xdr:pic>
      <xdr:nvPicPr>
        <xdr:cNvPr id="2" name="Bild 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332073" y="73157"/>
          <a:ext cx="875911" cy="25534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30480</xdr:colOff>
          <xdr:row>11</xdr:row>
          <xdr:rowOff>0</xdr:rowOff>
        </xdr:from>
        <xdr:to>
          <xdr:col>1</xdr:col>
          <xdr:colOff>220980</xdr:colOff>
          <xdr:row>11</xdr:row>
          <xdr:rowOff>220980</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0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11</xdr:row>
          <xdr:rowOff>0</xdr:rowOff>
        </xdr:from>
        <xdr:to>
          <xdr:col>3</xdr:col>
          <xdr:colOff>220980</xdr:colOff>
          <xdr:row>11</xdr:row>
          <xdr:rowOff>220980</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0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350520</xdr:colOff>
          <xdr:row>17</xdr:row>
          <xdr:rowOff>30480</xdr:rowOff>
        </xdr:from>
        <xdr:to>
          <xdr:col>1</xdr:col>
          <xdr:colOff>541020</xdr:colOff>
          <xdr:row>17</xdr:row>
          <xdr:rowOff>213360</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0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426720</xdr:colOff>
          <xdr:row>17</xdr:row>
          <xdr:rowOff>30480</xdr:rowOff>
        </xdr:from>
        <xdr:to>
          <xdr:col>2</xdr:col>
          <xdr:colOff>617220</xdr:colOff>
          <xdr:row>17</xdr:row>
          <xdr:rowOff>213360</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0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5024301</xdr:colOff>
      <xdr:row>0</xdr:row>
      <xdr:rowOff>78599</xdr:rowOff>
    </xdr:from>
    <xdr:to>
      <xdr:col>1</xdr:col>
      <xdr:colOff>5900212</xdr:colOff>
      <xdr:row>0</xdr:row>
      <xdr:rowOff>333944</xdr:rowOff>
    </xdr:to>
    <xdr:pic>
      <xdr:nvPicPr>
        <xdr:cNvPr id="2" name="Bild 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956515" y="78599"/>
          <a:ext cx="875911" cy="2553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773430</xdr:colOff>
      <xdr:row>0</xdr:row>
      <xdr:rowOff>84043</xdr:rowOff>
    </xdr:from>
    <xdr:to>
      <xdr:col>3</xdr:col>
      <xdr:colOff>155</xdr:colOff>
      <xdr:row>0</xdr:row>
      <xdr:rowOff>339388</xdr:rowOff>
    </xdr:to>
    <xdr:pic>
      <xdr:nvPicPr>
        <xdr:cNvPr id="2" name="Bild 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4743450" y="84043"/>
          <a:ext cx="788825" cy="2553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3260515</xdr:colOff>
      <xdr:row>0</xdr:row>
      <xdr:rowOff>67109</xdr:rowOff>
    </xdr:from>
    <xdr:to>
      <xdr:col>5</xdr:col>
      <xdr:colOff>743953</xdr:colOff>
      <xdr:row>0</xdr:row>
      <xdr:rowOff>322454</xdr:rowOff>
    </xdr:to>
    <xdr:pic>
      <xdr:nvPicPr>
        <xdr:cNvPr id="2" name="Bild 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9270790" y="67109"/>
          <a:ext cx="767658" cy="2629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3260515</xdr:colOff>
      <xdr:row>0</xdr:row>
      <xdr:rowOff>67109</xdr:rowOff>
    </xdr:from>
    <xdr:to>
      <xdr:col>5</xdr:col>
      <xdr:colOff>732523</xdr:colOff>
      <xdr:row>0</xdr:row>
      <xdr:rowOff>330074</xdr:rowOff>
    </xdr:to>
    <xdr:pic>
      <xdr:nvPicPr>
        <xdr:cNvPr id="2" name="Bild 0">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9270790" y="67109"/>
          <a:ext cx="767658" cy="2629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11430</xdr:colOff>
      <xdr:row>0</xdr:row>
      <xdr:rowOff>67109</xdr:rowOff>
    </xdr:from>
    <xdr:to>
      <xdr:col>5</xdr:col>
      <xdr:colOff>12855</xdr:colOff>
      <xdr:row>0</xdr:row>
      <xdr:rowOff>330074</xdr:rowOff>
    </xdr:to>
    <xdr:pic>
      <xdr:nvPicPr>
        <xdr:cNvPr id="2" name="Bild 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9589770" y="67109"/>
          <a:ext cx="786285" cy="2629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11430</xdr:colOff>
      <xdr:row>0</xdr:row>
      <xdr:rowOff>67109</xdr:rowOff>
    </xdr:from>
    <xdr:to>
      <xdr:col>5</xdr:col>
      <xdr:colOff>12855</xdr:colOff>
      <xdr:row>0</xdr:row>
      <xdr:rowOff>330074</xdr:rowOff>
    </xdr:to>
    <xdr:pic>
      <xdr:nvPicPr>
        <xdr:cNvPr id="2" name="Bild 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9414510" y="67109"/>
          <a:ext cx="786285" cy="2629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85725</xdr:colOff>
      <xdr:row>14</xdr:row>
      <xdr:rowOff>104775</xdr:rowOff>
    </xdr:from>
    <xdr:to>
      <xdr:col>6</xdr:col>
      <xdr:colOff>676275</xdr:colOff>
      <xdr:row>29</xdr:row>
      <xdr:rowOff>85725</xdr:rowOff>
    </xdr:to>
    <xdr:sp macro="" textlink="">
      <xdr:nvSpPr>
        <xdr:cNvPr id="2" name="Textfeld 1">
          <a:extLst>
            <a:ext uri="{FF2B5EF4-FFF2-40B4-BE49-F238E27FC236}">
              <a16:creationId xmlns:a16="http://schemas.microsoft.com/office/drawing/2014/main" id="{00000000-0008-0000-0700-000002000000}"/>
            </a:ext>
          </a:extLst>
        </xdr:cNvPr>
        <xdr:cNvSpPr txBox="1"/>
      </xdr:nvSpPr>
      <xdr:spPr>
        <a:xfrm>
          <a:off x="85725" y="2962275"/>
          <a:ext cx="5143500" cy="28384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CH" sz="1100" b="0" i="0" u="none" strike="noStrike" baseline="0">
              <a:solidFill>
                <a:schemeClr val="dk1"/>
              </a:solidFill>
              <a:latin typeface="+mn-lt"/>
              <a:ea typeface="+mn-ea"/>
              <a:cs typeface="+mn-cs"/>
            </a:rPr>
            <a:t>Für die Bewertung der Maturaarbeit werden zwei Noten gesetzt. Die erste Note ergibt sich aus dem schriftlichen Teil und dem Arbeitsprozess. Die zweite Note resultiert aus dem Poster und der Präsentation oder nur der Präsentation.</a:t>
          </a:r>
        </a:p>
        <a:p>
          <a:endParaRPr lang="de-CH" sz="1100" b="0" i="0" u="none" strike="noStrike" baseline="0">
            <a:solidFill>
              <a:schemeClr val="dk1"/>
            </a:solidFill>
            <a:latin typeface="+mn-lt"/>
            <a:ea typeface="+mn-ea"/>
            <a:cs typeface="+mn-cs"/>
          </a:endParaRPr>
        </a:p>
        <a:p>
          <a:r>
            <a:rPr lang="de-CH" sz="1100" b="0" i="0" u="none" strike="noStrike" baseline="0">
              <a:solidFill>
                <a:schemeClr val="dk1"/>
              </a:solidFill>
              <a:latin typeface="+mn-lt"/>
              <a:ea typeface="+mn-ea"/>
              <a:cs typeface="+mn-cs"/>
            </a:rPr>
            <a:t>In beiden Fällen müssen halbe Noten vergeben werden. Für die Gesamtbewertung wird der erste Teil zu 2/3 gewichtet, der zweite Teil zu 1/3.</a:t>
          </a:r>
        </a:p>
        <a:p>
          <a:endParaRPr lang="de-CH" sz="1100" b="0" i="0" u="none" strike="noStrike" baseline="0">
            <a:solidFill>
              <a:schemeClr val="dk1"/>
            </a:solidFill>
            <a:latin typeface="+mn-lt"/>
            <a:ea typeface="+mn-ea"/>
            <a:cs typeface="+mn-cs"/>
          </a:endParaRPr>
        </a:p>
        <a:p>
          <a:r>
            <a:rPr lang="de-CH" sz="1100" b="0" i="0" u="none" strike="noStrike" baseline="0">
              <a:solidFill>
                <a:schemeClr val="dk1"/>
              </a:solidFill>
              <a:latin typeface="+mn-lt"/>
              <a:ea typeface="+mn-ea"/>
              <a:cs typeface="+mn-cs"/>
            </a:rPr>
            <a:t>Die Noten für die beiden Teile werden gemäss Tabelle aus den Punkten umgerechnet, die sich aus den Bewertungsformularen ergeben.</a:t>
          </a:r>
        </a:p>
        <a:p>
          <a:endParaRPr lang="de-CH" sz="1100" b="0" i="0" u="none" strike="noStrike" baseline="0">
            <a:solidFill>
              <a:schemeClr val="dk1"/>
            </a:solidFill>
            <a:latin typeface="+mn-lt"/>
            <a:ea typeface="+mn-ea"/>
            <a:cs typeface="+mn-cs"/>
          </a:endParaRPr>
        </a:p>
        <a:p>
          <a:r>
            <a:rPr lang="de-CH" sz="1100" b="0" i="1" u="none" strike="noStrike" baseline="0">
              <a:solidFill>
                <a:schemeClr val="dk1"/>
              </a:solidFill>
              <a:latin typeface="+mn-lt"/>
              <a:ea typeface="+mn-ea"/>
              <a:cs typeface="+mn-cs"/>
            </a:rPr>
            <a:t>Maximale Punktzahlen:</a:t>
          </a:r>
        </a:p>
        <a:p>
          <a:r>
            <a:rPr lang="de-CH" sz="1100" b="0" i="0" u="none" strike="noStrike" baseline="0">
              <a:solidFill>
                <a:schemeClr val="dk1"/>
              </a:solidFill>
              <a:latin typeface="+mn-lt"/>
              <a:ea typeface="+mn-ea"/>
              <a:cs typeface="+mn-cs"/>
            </a:rPr>
            <a:t>Schriftliche Arbeit 	80 Punkte</a:t>
          </a:r>
        </a:p>
        <a:p>
          <a:r>
            <a:rPr lang="de-CH" sz="1100" b="0" i="0" u="none" strike="noStrike" baseline="0">
              <a:solidFill>
                <a:schemeClr val="dk1"/>
              </a:solidFill>
              <a:latin typeface="+mn-lt"/>
              <a:ea typeface="+mn-ea"/>
              <a:cs typeface="+mn-cs"/>
            </a:rPr>
            <a:t>Arbeitsprozess 		20 Punkte</a:t>
          </a:r>
        </a:p>
        <a:p>
          <a:r>
            <a:rPr lang="de-CH" sz="1100" b="0" i="0" u="none" strike="noStrike" baseline="0">
              <a:solidFill>
                <a:schemeClr val="dk1"/>
              </a:solidFill>
              <a:latin typeface="+mn-lt"/>
              <a:ea typeface="+mn-ea"/>
              <a:cs typeface="+mn-cs"/>
            </a:rPr>
            <a:t>Mündliche Präsentation 	40 Punkte</a:t>
          </a:r>
        </a:p>
        <a:p>
          <a:r>
            <a:rPr lang="de-CH" sz="1100" b="0" i="0" u="sng" strike="noStrike" baseline="0">
              <a:solidFill>
                <a:schemeClr val="dk1"/>
              </a:solidFill>
              <a:latin typeface="+mn-lt"/>
              <a:ea typeface="+mn-ea"/>
              <a:cs typeface="+mn-cs"/>
            </a:rPr>
            <a:t>(Poster 		20 Punkte)</a:t>
          </a:r>
        </a:p>
        <a:p>
          <a:r>
            <a:rPr lang="de-CH" sz="1100" b="0" i="0" u="none" strike="noStrike" baseline="0">
              <a:solidFill>
                <a:schemeClr val="dk1"/>
              </a:solidFill>
              <a:latin typeface="+mn-lt"/>
              <a:ea typeface="+mn-ea"/>
              <a:cs typeface="+mn-cs"/>
            </a:rPr>
            <a:t>Total		140 P/160 P</a:t>
          </a:r>
          <a:endParaRPr lang="de-CH"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ctedubs-my.sharepoint.com/personal/michele_weber_edubs_ch/Documents/Allgemein/Organisatorisches/Maturarbeit/MA%2022_23%20Formulare/MA%2023_24/MA%2023_24/MA%20Formular%20Typ%20kreativ_23_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ktvereinbarung"/>
      <sheetName val="Konzept"/>
      <sheetName val="Notenblatt"/>
      <sheetName val="Einzelarbeit"/>
      <sheetName val="Gruppenarbeit"/>
      <sheetName val="Präsentation"/>
      <sheetName val="Poster_Präsentation"/>
      <sheetName val="Notentabellen"/>
    </sheetNames>
    <sheetDataSet>
      <sheetData sheetId="0"/>
      <sheetData sheetId="1"/>
      <sheetData sheetId="2"/>
      <sheetData sheetId="3"/>
      <sheetData sheetId="4"/>
      <sheetData sheetId="5"/>
      <sheetData sheetId="6"/>
      <sheetData sheetId="7">
        <row r="3">
          <cell r="A3">
            <v>0</v>
          </cell>
          <cell r="B3">
            <v>1</v>
          </cell>
          <cell r="D3">
            <v>0</v>
          </cell>
          <cell r="E3">
            <v>1</v>
          </cell>
          <cell r="G3">
            <v>0</v>
          </cell>
          <cell r="H3">
            <v>1</v>
          </cell>
        </row>
        <row r="4">
          <cell r="A4">
            <v>5</v>
          </cell>
          <cell r="B4">
            <v>1.5</v>
          </cell>
          <cell r="D4">
            <v>2</v>
          </cell>
          <cell r="E4">
            <v>1.5</v>
          </cell>
          <cell r="G4">
            <v>3</v>
          </cell>
          <cell r="H4">
            <v>1.5</v>
          </cell>
        </row>
        <row r="5">
          <cell r="A5">
            <v>15</v>
          </cell>
          <cell r="B5">
            <v>2</v>
          </cell>
          <cell r="D5">
            <v>6</v>
          </cell>
          <cell r="E5">
            <v>2</v>
          </cell>
          <cell r="G5">
            <v>9</v>
          </cell>
          <cell r="H5">
            <v>2</v>
          </cell>
        </row>
        <row r="6">
          <cell r="A6">
            <v>25</v>
          </cell>
          <cell r="B6">
            <v>2.5</v>
          </cell>
          <cell r="D6">
            <v>10</v>
          </cell>
          <cell r="E6">
            <v>2.5</v>
          </cell>
          <cell r="G6">
            <v>15</v>
          </cell>
          <cell r="H6">
            <v>2.5</v>
          </cell>
        </row>
        <row r="7">
          <cell r="A7">
            <v>35</v>
          </cell>
          <cell r="B7">
            <v>3</v>
          </cell>
          <cell r="D7">
            <v>14</v>
          </cell>
          <cell r="E7">
            <v>3</v>
          </cell>
          <cell r="G7">
            <v>21</v>
          </cell>
          <cell r="H7">
            <v>3</v>
          </cell>
        </row>
        <row r="8">
          <cell r="A8">
            <v>45</v>
          </cell>
          <cell r="B8">
            <v>3.5</v>
          </cell>
          <cell r="D8">
            <v>18</v>
          </cell>
          <cell r="E8">
            <v>3.5</v>
          </cell>
          <cell r="G8">
            <v>27</v>
          </cell>
          <cell r="H8">
            <v>3.5</v>
          </cell>
        </row>
        <row r="9">
          <cell r="A9">
            <v>55</v>
          </cell>
          <cell r="B9">
            <v>4</v>
          </cell>
          <cell r="D9">
            <v>22</v>
          </cell>
          <cell r="E9">
            <v>4</v>
          </cell>
          <cell r="G9">
            <v>33</v>
          </cell>
          <cell r="H9">
            <v>4</v>
          </cell>
        </row>
        <row r="10">
          <cell r="A10">
            <v>65</v>
          </cell>
          <cell r="B10">
            <v>4.5</v>
          </cell>
          <cell r="D10">
            <v>26</v>
          </cell>
          <cell r="E10">
            <v>4.5</v>
          </cell>
          <cell r="G10">
            <v>39</v>
          </cell>
          <cell r="H10">
            <v>4.5</v>
          </cell>
        </row>
        <row r="11">
          <cell r="A11">
            <v>75</v>
          </cell>
          <cell r="B11">
            <v>5</v>
          </cell>
          <cell r="D11">
            <v>30</v>
          </cell>
          <cell r="E11">
            <v>5</v>
          </cell>
          <cell r="G11">
            <v>45</v>
          </cell>
          <cell r="H11">
            <v>5</v>
          </cell>
        </row>
        <row r="12">
          <cell r="A12">
            <v>85</v>
          </cell>
          <cell r="B12">
            <v>5.5</v>
          </cell>
          <cell r="D12">
            <v>34</v>
          </cell>
          <cell r="E12">
            <v>5.5</v>
          </cell>
          <cell r="G12">
            <v>51</v>
          </cell>
          <cell r="H12">
            <v>5.5</v>
          </cell>
        </row>
        <row r="13">
          <cell r="A13">
            <v>95</v>
          </cell>
          <cell r="B13">
            <v>6</v>
          </cell>
          <cell r="D13">
            <v>38</v>
          </cell>
          <cell r="E13">
            <v>6</v>
          </cell>
          <cell r="G13">
            <v>57</v>
          </cell>
          <cell r="H13">
            <v>6</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D5443-D8FF-4165-A4A2-AF5ACFA103C8}">
  <sheetPr codeName="Tabelle11">
    <tabColor rgb="FF00B0F0"/>
  </sheetPr>
  <dimension ref="A1:D34"/>
  <sheetViews>
    <sheetView zoomScaleNormal="100" workbookViewId="0">
      <pane ySplit="1" topLeftCell="A19" activePane="bottomLeft" state="frozen"/>
      <selection activeCell="A45" sqref="A45:E45"/>
      <selection pane="bottomLeft" activeCell="A33" sqref="A33"/>
    </sheetView>
  </sheetViews>
  <sheetFormatPr baseColWidth="10" defaultColWidth="11.33203125" defaultRowHeight="13.8"/>
  <cols>
    <col min="1" max="1" width="25.6640625" style="7" customWidth="1"/>
    <col min="2" max="2" width="35.6640625" style="7" customWidth="1"/>
    <col min="3" max="3" width="25.6640625" style="7" customWidth="1"/>
    <col min="4" max="4" width="35.6640625" style="10" customWidth="1"/>
    <col min="5" max="16384" width="11.33203125" style="7"/>
  </cols>
  <sheetData>
    <row r="1" spans="1:4" ht="29.7" customHeight="1">
      <c r="A1" s="142" t="s">
        <v>81</v>
      </c>
      <c r="B1" s="143"/>
      <c r="C1" s="143"/>
    </row>
    <row r="2" spans="1:4" customFormat="1" ht="25.2" customHeight="1">
      <c r="A2" s="65" t="s">
        <v>144</v>
      </c>
    </row>
    <row r="3" spans="1:4" s="111" customFormat="1" ht="15" customHeight="1">
      <c r="A3" s="3" t="s">
        <v>95</v>
      </c>
    </row>
    <row r="4" spans="1:4" s="112" customFormat="1" ht="15" customHeight="1">
      <c r="A4" s="4" t="s">
        <v>96</v>
      </c>
    </row>
    <row r="5" spans="1:4" s="111" customFormat="1" ht="15" customHeight="1">
      <c r="A5" s="4" t="s">
        <v>97</v>
      </c>
    </row>
    <row r="6" spans="1:4" s="112" customFormat="1" ht="19.95" customHeight="1">
      <c r="A6" s="104" t="s">
        <v>98</v>
      </c>
    </row>
    <row r="7" spans="1:4" s="112" customFormat="1" ht="15" customHeight="1">
      <c r="A7" s="4" t="s">
        <v>99</v>
      </c>
      <c r="D7" s="144"/>
    </row>
    <row r="8" spans="1:4" s="112" customFormat="1" ht="15" customHeight="1">
      <c r="A8" s="4" t="s">
        <v>117</v>
      </c>
    </row>
    <row r="9" spans="1:4" customFormat="1" ht="15" customHeight="1" thickBot="1">
      <c r="A9" s="4"/>
    </row>
    <row r="10" spans="1:4" ht="30" customHeight="1" thickTop="1" thickBot="1">
      <c r="A10" s="130" t="s">
        <v>0</v>
      </c>
      <c r="B10" s="218" t="s">
        <v>172</v>
      </c>
      <c r="C10" s="218"/>
      <c r="D10" s="219"/>
    </row>
    <row r="11" spans="1:4" ht="15" customHeight="1" thickTop="1" thickBot="1">
      <c r="A11" s="49"/>
      <c r="B11" s="41"/>
      <c r="C11" s="41"/>
      <c r="D11" s="100"/>
    </row>
    <row r="12" spans="1:4" ht="20.100000000000001" customHeight="1" thickTop="1">
      <c r="A12" s="120" t="s">
        <v>1</v>
      </c>
      <c r="B12" s="105"/>
      <c r="C12" s="122" t="s">
        <v>73</v>
      </c>
      <c r="D12" s="101"/>
    </row>
    <row r="13" spans="1:4" ht="20.100000000000001" customHeight="1" thickBot="1">
      <c r="A13" s="121"/>
      <c r="B13" s="46"/>
      <c r="C13" s="110" t="s">
        <v>82</v>
      </c>
      <c r="D13" s="131"/>
    </row>
    <row r="14" spans="1:4" ht="15" customHeight="1" thickTop="1" thickBot="1">
      <c r="A14" s="35"/>
      <c r="B14" s="41"/>
      <c r="C14" s="41"/>
      <c r="D14" s="100"/>
    </row>
    <row r="15" spans="1:4" ht="20.100000000000001" customHeight="1" thickTop="1">
      <c r="A15" s="123" t="s">
        <v>83</v>
      </c>
      <c r="B15" s="124"/>
      <c r="C15" s="124"/>
      <c r="D15" s="125"/>
    </row>
    <row r="16" spans="1:4" ht="20.100000000000001" customHeight="1" thickBot="1">
      <c r="A16" s="108" t="s">
        <v>84</v>
      </c>
      <c r="B16" s="132"/>
      <c r="C16" s="109" t="s">
        <v>85</v>
      </c>
      <c r="D16" s="133"/>
    </row>
    <row r="17" spans="1:4" ht="15" customHeight="1" thickTop="1" thickBot="1">
      <c r="A17" s="41"/>
      <c r="B17" s="41"/>
      <c r="C17" s="41"/>
      <c r="D17" s="100"/>
    </row>
    <row r="18" spans="1:4" ht="20.100000000000001" customHeight="1" thickTop="1" thickBot="1">
      <c r="A18" s="126" t="s">
        <v>61</v>
      </c>
      <c r="B18" s="107" t="s">
        <v>86</v>
      </c>
      <c r="C18" s="102" t="s">
        <v>87</v>
      </c>
      <c r="D18" s="103"/>
    </row>
    <row r="19" spans="1:4" ht="15" customHeight="1" thickTop="1" thickBot="1">
      <c r="A19" s="41"/>
      <c r="B19" s="41"/>
      <c r="C19" s="41"/>
      <c r="D19" s="100"/>
    </row>
    <row r="20" spans="1:4" ht="20.100000000000001" customHeight="1" thickTop="1">
      <c r="A20" s="123" t="s">
        <v>88</v>
      </c>
      <c r="B20" s="137"/>
      <c r="C20" s="138" t="s">
        <v>89</v>
      </c>
      <c r="D20" s="127"/>
    </row>
    <row r="21" spans="1:4" ht="20.100000000000001" customHeight="1">
      <c r="A21" s="114" t="s">
        <v>84</v>
      </c>
      <c r="B21" s="106" t="s">
        <v>163</v>
      </c>
      <c r="C21" s="139" t="s">
        <v>84</v>
      </c>
      <c r="D21" s="134" t="s">
        <v>165</v>
      </c>
    </row>
    <row r="22" spans="1:4" ht="20.100000000000001" customHeight="1">
      <c r="A22" s="115" t="s">
        <v>85</v>
      </c>
      <c r="B22" s="106" t="s">
        <v>164</v>
      </c>
      <c r="C22" s="139" t="s">
        <v>85</v>
      </c>
      <c r="D22" s="134" t="s">
        <v>166</v>
      </c>
    </row>
    <row r="23" spans="1:4" ht="20.100000000000001" customHeight="1">
      <c r="A23" s="115" t="s">
        <v>90</v>
      </c>
      <c r="B23" s="106" t="s">
        <v>167</v>
      </c>
      <c r="C23" s="139"/>
      <c r="D23" s="136"/>
    </row>
    <row r="24" spans="1:4" ht="20.100000000000001" customHeight="1">
      <c r="A24" s="115" t="s">
        <v>91</v>
      </c>
      <c r="B24" s="106">
        <v>41787409916</v>
      </c>
      <c r="C24" s="139" t="s">
        <v>91</v>
      </c>
      <c r="D24" s="134"/>
    </row>
    <row r="25" spans="1:4" ht="20.100000000000001" customHeight="1" thickBot="1">
      <c r="A25" s="108" t="s">
        <v>92</v>
      </c>
      <c r="B25" s="214" t="s">
        <v>173</v>
      </c>
      <c r="C25" s="140" t="s">
        <v>92</v>
      </c>
      <c r="D25" s="135" t="s">
        <v>168</v>
      </c>
    </row>
    <row r="26" spans="1:4" ht="15" customHeight="1" thickTop="1" thickBot="1">
      <c r="A26" s="41"/>
      <c r="B26" s="141"/>
      <c r="C26" s="141"/>
    </row>
    <row r="27" spans="1:4" ht="20.100000000000001" customHeight="1" thickTop="1">
      <c r="A27" s="215" t="s">
        <v>93</v>
      </c>
      <c r="B27" s="216"/>
      <c r="C27" s="216"/>
      <c r="D27" s="217"/>
    </row>
    <row r="28" spans="1:4" s="24" customFormat="1" ht="20.100000000000001" customHeight="1">
      <c r="A28" s="116" t="s">
        <v>88</v>
      </c>
      <c r="B28" s="117"/>
      <c r="C28" s="118" t="s">
        <v>89</v>
      </c>
      <c r="D28" s="119"/>
    </row>
    <row r="29" spans="1:4" s="24" customFormat="1" ht="45" customHeight="1" thickBot="1">
      <c r="A29" s="220"/>
      <c r="B29" s="221"/>
      <c r="C29" s="222"/>
      <c r="D29" s="223"/>
    </row>
    <row r="30" spans="1:4" s="24" customFormat="1" ht="18" customHeight="1" thickTop="1">
      <c r="A30" s="81"/>
      <c r="B30" s="65"/>
      <c r="C30" s="65"/>
      <c r="D30" s="10"/>
    </row>
    <row r="31" spans="1:4" s="24" customFormat="1" ht="18.75" customHeight="1">
      <c r="A31" s="104" t="s">
        <v>18</v>
      </c>
      <c r="B31" s="7"/>
      <c r="C31" s="7"/>
      <c r="D31" s="10"/>
    </row>
    <row r="32" spans="1:4" s="113" customFormat="1" ht="18.75" customHeight="1">
      <c r="A32" s="113" t="s">
        <v>118</v>
      </c>
    </row>
    <row r="33" spans="1:4" s="24" customFormat="1">
      <c r="A33" s="113" t="s">
        <v>141</v>
      </c>
      <c r="B33" s="4"/>
      <c r="C33" s="4"/>
      <c r="D33" s="10"/>
    </row>
    <row r="34" spans="1:4">
      <c r="A34" s="66" t="s">
        <v>94</v>
      </c>
    </row>
  </sheetData>
  <sheetProtection sheet="1" objects="1" scenarios="1"/>
  <mergeCells count="4">
    <mergeCell ref="A27:D27"/>
    <mergeCell ref="B10:D10"/>
    <mergeCell ref="A29:B29"/>
    <mergeCell ref="C29:D29"/>
  </mergeCells>
  <pageMargins left="0.70866141732283472" right="0.70866141732283472" top="0.39370078740157483" bottom="0.39370078740157483" header="0.31496062992125984" footer="0.31496062992125984"/>
  <pageSetup paperSize="9" scale="80" orientation="landscape" r:id="rId1"/>
  <headerFooter>
    <oddFooter>&amp;L&amp;D&amp;R&amp;"Arial,Standard"&amp;9&amp;P/&amp;N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172" r:id="rId4" name="Check Box 4">
              <controlPr defaultSize="0" autoFill="0" autoLine="0" autoPict="0">
                <anchor moveWithCells="1">
                  <from>
                    <xdr:col>1</xdr:col>
                    <xdr:colOff>30480</xdr:colOff>
                    <xdr:row>11</xdr:row>
                    <xdr:rowOff>0</xdr:rowOff>
                  </from>
                  <to>
                    <xdr:col>1</xdr:col>
                    <xdr:colOff>220980</xdr:colOff>
                    <xdr:row>11</xdr:row>
                    <xdr:rowOff>220980</xdr:rowOff>
                  </to>
                </anchor>
              </controlPr>
            </control>
          </mc:Choice>
        </mc:AlternateContent>
        <mc:AlternateContent xmlns:mc="http://schemas.openxmlformats.org/markup-compatibility/2006">
          <mc:Choice Requires="x14">
            <control shapeId="7173" r:id="rId5" name="Check Box 5">
              <controlPr defaultSize="0" autoFill="0" autoLine="0" autoPict="0">
                <anchor moveWithCells="1">
                  <from>
                    <xdr:col>3</xdr:col>
                    <xdr:colOff>30480</xdr:colOff>
                    <xdr:row>11</xdr:row>
                    <xdr:rowOff>0</xdr:rowOff>
                  </from>
                  <to>
                    <xdr:col>3</xdr:col>
                    <xdr:colOff>220980</xdr:colOff>
                    <xdr:row>11</xdr:row>
                    <xdr:rowOff>220980</xdr:rowOff>
                  </to>
                </anchor>
              </controlPr>
            </control>
          </mc:Choice>
        </mc:AlternateContent>
        <mc:AlternateContent xmlns:mc="http://schemas.openxmlformats.org/markup-compatibility/2006">
          <mc:Choice Requires="x14">
            <control shapeId="7174" r:id="rId6" name="Check Box 6">
              <controlPr defaultSize="0" autoFill="0" autoLine="0" autoPict="0">
                <anchor moveWithCells="1">
                  <from>
                    <xdr:col>1</xdr:col>
                    <xdr:colOff>350520</xdr:colOff>
                    <xdr:row>17</xdr:row>
                    <xdr:rowOff>30480</xdr:rowOff>
                  </from>
                  <to>
                    <xdr:col>1</xdr:col>
                    <xdr:colOff>541020</xdr:colOff>
                    <xdr:row>17</xdr:row>
                    <xdr:rowOff>213360</xdr:rowOff>
                  </to>
                </anchor>
              </controlPr>
            </control>
          </mc:Choice>
        </mc:AlternateContent>
        <mc:AlternateContent xmlns:mc="http://schemas.openxmlformats.org/markup-compatibility/2006">
          <mc:Choice Requires="x14">
            <control shapeId="7175" r:id="rId7" name="Check Box 7">
              <controlPr defaultSize="0" autoFill="0" autoLine="0" autoPict="0">
                <anchor moveWithCells="1">
                  <from>
                    <xdr:col>2</xdr:col>
                    <xdr:colOff>426720</xdr:colOff>
                    <xdr:row>17</xdr:row>
                    <xdr:rowOff>30480</xdr:rowOff>
                  </from>
                  <to>
                    <xdr:col>2</xdr:col>
                    <xdr:colOff>617220</xdr:colOff>
                    <xdr:row>17</xdr:row>
                    <xdr:rowOff>213360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6677-7DE4-47CF-B9EC-08E394904322}">
  <sheetPr>
    <tabColor rgb="FFFF0000"/>
  </sheetPr>
  <dimension ref="A1:C33"/>
  <sheetViews>
    <sheetView tabSelected="1" zoomScaleNormal="100" workbookViewId="0">
      <pane ySplit="1" topLeftCell="A24" activePane="bottomLeft" state="frozen"/>
      <selection activeCell="A45" sqref="A45:E45"/>
      <selection pane="bottomLeft" activeCell="B6" sqref="B6"/>
    </sheetView>
  </sheetViews>
  <sheetFormatPr baseColWidth="10" defaultColWidth="11.33203125" defaultRowHeight="13.8"/>
  <cols>
    <col min="1" max="1" width="27.33203125" style="7" customWidth="1"/>
    <col min="2" max="2" width="124.5546875" style="7" customWidth="1"/>
    <col min="3" max="16384" width="11.33203125" style="7"/>
  </cols>
  <sheetData>
    <row r="1" spans="1:3" ht="29.7" customHeight="1">
      <c r="A1" s="142" t="s">
        <v>100</v>
      </c>
      <c r="B1" s="143"/>
    </row>
    <row r="2" spans="1:3" customFormat="1" ht="25.2" customHeight="1" thickBot="1">
      <c r="A2" s="65" t="s">
        <v>144</v>
      </c>
    </row>
    <row r="3" spans="1:3" ht="20.100000000000001" customHeight="1" thickTop="1">
      <c r="A3" s="123" t="s">
        <v>88</v>
      </c>
      <c r="B3" s="199"/>
    </row>
    <row r="4" spans="1:3" ht="18" customHeight="1" thickBot="1">
      <c r="A4" s="108" t="s">
        <v>161</v>
      </c>
      <c r="B4" s="200" t="str">
        <f>[1]Projektvereinbarung!B21&amp;" "&amp;[1]Projektvereinbarung!B22&amp;" / "&amp;[1]Projektvereinbarung!B23</f>
        <v xml:space="preserve">  / </v>
      </c>
    </row>
    <row r="5" spans="1:3" s="111" customFormat="1" ht="9.9" customHeight="1" thickTop="1" thickBot="1">
      <c r="A5" s="4"/>
    </row>
    <row r="6" spans="1:3" ht="16.8" thickTop="1" thickBot="1">
      <c r="A6" s="201" t="s">
        <v>0</v>
      </c>
      <c r="B6" s="202" t="str">
        <f>IF([1]Projektvereinbarung!B10="","",[1]Projektvereinbarung!B10)</f>
        <v/>
      </c>
    </row>
    <row r="7" spans="1:3" ht="9.9" customHeight="1" thickTop="1" thickBot="1"/>
    <row r="8" spans="1:3" ht="15" customHeight="1" thickTop="1" thickBot="1">
      <c r="A8" s="224" t="s">
        <v>101</v>
      </c>
      <c r="B8" s="203" t="s">
        <v>102</v>
      </c>
    </row>
    <row r="9" spans="1:3" ht="15" thickTop="1" thickBot="1">
      <c r="A9" s="225"/>
      <c r="B9" s="198" t="s">
        <v>169</v>
      </c>
      <c r="C9" s="128"/>
    </row>
    <row r="10" spans="1:3" ht="9.9" customHeight="1" thickTop="1" thickBot="1">
      <c r="A10" s="41"/>
      <c r="B10" s="41"/>
    </row>
    <row r="11" spans="1:3" ht="15" customHeight="1" thickTop="1" thickBot="1">
      <c r="A11" s="224" t="s">
        <v>104</v>
      </c>
      <c r="B11" s="203" t="s">
        <v>103</v>
      </c>
    </row>
    <row r="12" spans="1:3" ht="15.6" thickTop="1" thickBot="1">
      <c r="A12" s="225"/>
      <c r="B12" s="211" t="s">
        <v>174</v>
      </c>
      <c r="C12" s="128"/>
    </row>
    <row r="13" spans="1:3" ht="9.9" customHeight="1" thickTop="1" thickBot="1">
      <c r="B13" s="204"/>
    </row>
    <row r="14" spans="1:3" ht="15" customHeight="1" thickTop="1" thickBot="1">
      <c r="A14" s="224" t="s">
        <v>105</v>
      </c>
      <c r="B14" s="203" t="s">
        <v>106</v>
      </c>
    </row>
    <row r="15" spans="1:3" ht="84" thickTop="1" thickBot="1">
      <c r="A15" s="225"/>
      <c r="B15" s="212" t="s">
        <v>175</v>
      </c>
      <c r="C15" s="128"/>
    </row>
    <row r="16" spans="1:3" ht="9.9" customHeight="1" thickTop="1" thickBot="1"/>
    <row r="17" spans="1:3" ht="15" customHeight="1" thickTop="1" thickBot="1">
      <c r="A17" s="224" t="s">
        <v>107</v>
      </c>
      <c r="B17" s="203" t="s">
        <v>108</v>
      </c>
    </row>
    <row r="18" spans="1:3" ht="217.2" thickTop="1" thickBot="1">
      <c r="A18" s="225"/>
      <c r="B18" s="211" t="s">
        <v>176</v>
      </c>
      <c r="C18" s="128"/>
    </row>
    <row r="19" spans="1:3" ht="9.9" customHeight="1" thickTop="1" thickBot="1"/>
    <row r="20" spans="1:3" ht="139.19999999999999" thickTop="1" thickBot="1">
      <c r="A20" s="201" t="s">
        <v>111</v>
      </c>
      <c r="B20" s="213" t="s">
        <v>177</v>
      </c>
    </row>
    <row r="21" spans="1:3" ht="9.9" customHeight="1" thickTop="1" thickBot="1"/>
    <row r="22" spans="1:3" ht="42.6" thickTop="1" thickBot="1">
      <c r="A22" s="201" t="s">
        <v>109</v>
      </c>
      <c r="B22" s="205" t="s">
        <v>178</v>
      </c>
    </row>
    <row r="23" spans="1:3" ht="9.9" customHeight="1" thickTop="1" thickBot="1"/>
    <row r="24" spans="1:3" ht="304.8" thickTop="1" thickBot="1">
      <c r="A24" s="201" t="s">
        <v>110</v>
      </c>
      <c r="B24" s="213" t="s">
        <v>179</v>
      </c>
    </row>
    <row r="25" spans="1:3" ht="9.9" customHeight="1" thickTop="1" thickBot="1"/>
    <row r="26" spans="1:3" ht="20.100000000000001" customHeight="1" thickTop="1" thickBot="1">
      <c r="A26" s="226" t="s">
        <v>93</v>
      </c>
      <c r="B26" s="227"/>
    </row>
    <row r="27" spans="1:3" s="24" customFormat="1" ht="20.100000000000001" customHeight="1" thickTop="1" thickBot="1">
      <c r="A27" s="206" t="s">
        <v>88</v>
      </c>
      <c r="B27" s="207" t="s">
        <v>89</v>
      </c>
    </row>
    <row r="28" spans="1:3" s="24" customFormat="1" ht="45" customHeight="1" thickTop="1" thickBot="1">
      <c r="A28" s="208"/>
      <c r="B28" s="209"/>
    </row>
    <row r="29" spans="1:3" ht="9.9" customHeight="1" thickTop="1"/>
    <row r="30" spans="1:3">
      <c r="A30" s="3" t="s">
        <v>18</v>
      </c>
    </row>
    <row r="31" spans="1:3">
      <c r="A31" s="113" t="s">
        <v>119</v>
      </c>
    </row>
    <row r="32" spans="1:3">
      <c r="A32" s="146" t="s">
        <v>120</v>
      </c>
    </row>
    <row r="33" spans="1:1">
      <c r="A33" s="145" t="s">
        <v>94</v>
      </c>
    </row>
  </sheetData>
  <sheetProtection sheet="1" objects="1" scenarios="1"/>
  <mergeCells count="5">
    <mergeCell ref="A8:A9"/>
    <mergeCell ref="A11:A12"/>
    <mergeCell ref="A14:A15"/>
    <mergeCell ref="A17:A18"/>
    <mergeCell ref="A26:B26"/>
  </mergeCells>
  <pageMargins left="0.70866141732283472" right="0.70866141732283472" top="0.39370078740157483" bottom="0.39370078740157483" header="0.31496062992125984" footer="0.31496062992125984"/>
  <pageSetup paperSize="9" scale="80" orientation="landscape" r:id="rId1"/>
  <headerFooter>
    <oddFooter>&amp;L&amp;D&amp;R&amp;"Arial,Standard"&amp;9&amp;P/&amp;N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8C6EA-4003-4CD1-91DA-0880545A2CE3}">
  <sheetPr codeName="Tabelle2">
    <tabColor theme="9" tint="0.39997558519241921"/>
    <pageSetUpPr fitToPage="1"/>
  </sheetPr>
  <dimension ref="A1:E35"/>
  <sheetViews>
    <sheetView zoomScaleNormal="100" workbookViewId="0">
      <pane ySplit="1" topLeftCell="A2" activePane="bottomLeft" state="frozen"/>
      <selection activeCell="A45" sqref="A45:E45"/>
      <selection pane="bottomLeft" activeCell="C5" sqref="C5"/>
    </sheetView>
  </sheetViews>
  <sheetFormatPr baseColWidth="10" defaultColWidth="11.33203125" defaultRowHeight="13.8"/>
  <cols>
    <col min="1" max="1" width="52.88671875" style="7" customWidth="1"/>
    <col min="2" max="2" width="57.88671875" style="7" customWidth="1"/>
    <col min="3" max="3" width="23.33203125" style="10" customWidth="1"/>
    <col min="4" max="16384" width="11.33203125" style="7"/>
  </cols>
  <sheetData>
    <row r="1" spans="1:5" ht="29.7" customHeight="1">
      <c r="A1" s="83" t="s">
        <v>121</v>
      </c>
      <c r="B1" s="143" t="str">
        <f>IF(Projektvereinbarung!B21="","",Projektvereinbarung!B21&amp;" "&amp;Projektvereinbarung!B22&amp;", "&amp;Projektvereinbarung!B23)</f>
        <v>Jan Haag, G3c</v>
      </c>
    </row>
    <row r="2" spans="1:5" s="2" customFormat="1" ht="29.7" customHeight="1" thickBot="1">
      <c r="A2" s="21" t="s">
        <v>144</v>
      </c>
      <c r="B2" s="21"/>
      <c r="C2" s="39"/>
      <c r="E2" s="22"/>
    </row>
    <row r="3" spans="1:5" ht="29.7" customHeight="1" thickBot="1">
      <c r="A3" s="129" t="s">
        <v>0</v>
      </c>
      <c r="B3" s="147" t="str">
        <f>IF(Projektvereinbarung!B10="","",Projektvereinbarung!B10)</f>
        <v>Programmierung und Optimierung eines Programmes für die Erkennung von handgeschriebenen Zahlen</v>
      </c>
      <c r="C3" s="148" t="str">
        <f>IF(Notentabellen!A35=TRUE,Notentabellen!B35,IF(Notentabellen!A36=TRUE,Notentabellen!B36,""))</f>
        <v>Einzelarbeit</v>
      </c>
    </row>
    <row r="4" spans="1:5" ht="30" customHeight="1" thickBot="1">
      <c r="A4" s="45" t="s">
        <v>2</v>
      </c>
      <c r="B4" s="45"/>
      <c r="C4" s="80" t="s">
        <v>3</v>
      </c>
    </row>
    <row r="5" spans="1:5" ht="18" customHeight="1" thickTop="1">
      <c r="A5" s="36" t="s">
        <v>4</v>
      </c>
      <c r="B5" s="43"/>
      <c r="C5" s="6">
        <f>IF($C$3="Einzelarbeit",Einzelarbeit!F11,Gruppenarbeit!F11)</f>
        <v>0</v>
      </c>
    </row>
    <row r="6" spans="1:5" ht="18" customHeight="1">
      <c r="A6" s="37" t="s">
        <v>113</v>
      </c>
      <c r="B6" s="44"/>
      <c r="C6" s="5">
        <f>IF($C$3="Einzelarbeit",Einzelarbeit!F24,Gruppenarbeit!F24)</f>
        <v>0</v>
      </c>
    </row>
    <row r="7" spans="1:5" ht="18" customHeight="1" thickBot="1">
      <c r="A7" s="52" t="s">
        <v>5</v>
      </c>
      <c r="B7" s="53"/>
      <c r="C7" s="54">
        <f>IF($C$3="Einzelarbeit",Einzelarbeit!F32,Gruppenarbeit!F33)</f>
        <v>0</v>
      </c>
    </row>
    <row r="8" spans="1:5" ht="29.7" customHeight="1" thickBot="1">
      <c r="A8" s="61" t="s">
        <v>116</v>
      </c>
      <c r="B8" s="62"/>
      <c r="C8" s="74">
        <f>SUM(C5:C7)</f>
        <v>0</v>
      </c>
    </row>
    <row r="9" spans="1:5" ht="10.199999999999999" customHeight="1" thickBot="1">
      <c r="A9" s="23"/>
      <c r="B9" s="42"/>
      <c r="C9" s="63"/>
    </row>
    <row r="10" spans="1:5" ht="29.7" customHeight="1" thickTop="1" thickBot="1">
      <c r="A10" s="23" t="s">
        <v>6</v>
      </c>
      <c r="B10" s="46"/>
      <c r="C10" s="75" t="str">
        <f>IF(C8=0,"",VLOOKUP(C8,Schriftlich,2,TRUE))</f>
        <v/>
      </c>
    </row>
    <row r="11" spans="1:5" ht="29.7" customHeight="1" thickTop="1" thickBot="1">
      <c r="A11" s="48"/>
      <c r="B11" s="48"/>
      <c r="C11" s="51"/>
    </row>
    <row r="12" spans="1:5" ht="29.7" customHeight="1" thickBot="1">
      <c r="A12" s="47" t="s">
        <v>7</v>
      </c>
      <c r="B12" s="47"/>
      <c r="C12" s="149" t="str">
        <f>IF(Notentabellen!A38=TRUE,Notentabellen!B38,IF(Notentabellen!A39=TRUE,Notentabellen!B39,""))</f>
        <v>ohne Poster</v>
      </c>
    </row>
    <row r="13" spans="1:5" ht="18" customHeight="1" thickTop="1">
      <c r="A13" s="36" t="s">
        <v>9</v>
      </c>
      <c r="B13" s="71"/>
      <c r="C13" s="5">
        <f>IF($C$12="ohne Poster",Präsentation!E11,Poster_Präsentation!E11)</f>
        <v>0</v>
      </c>
    </row>
    <row r="14" spans="1:5" ht="18" customHeight="1" thickBot="1">
      <c r="A14" s="52" t="s">
        <v>10</v>
      </c>
      <c r="B14" s="55"/>
      <c r="C14" s="54">
        <f>IF($C$12="ohne Poster",Präsentation!E12,Poster_Präsentation!E22)</f>
        <v>0</v>
      </c>
    </row>
    <row r="15" spans="1:5" ht="29.7" customHeight="1" thickBot="1">
      <c r="A15" s="61" t="s">
        <v>11</v>
      </c>
      <c r="B15" s="64"/>
      <c r="C15" s="74">
        <f>SUM(C13:C14)</f>
        <v>0</v>
      </c>
    </row>
    <row r="16" spans="1:5" ht="10.199999999999999" customHeight="1" thickBot="1">
      <c r="A16" s="49"/>
      <c r="B16" s="41"/>
      <c r="C16" s="58"/>
    </row>
    <row r="17" spans="1:3" ht="29.7" customHeight="1" thickTop="1" thickBot="1">
      <c r="A17" s="17" t="s">
        <v>12</v>
      </c>
      <c r="B17" s="56"/>
      <c r="C17" s="16">
        <f>IF(C15=0,0,IF(C12="ohne Poster",VLOOKUP(C15,Präsentation,2,TRUE),VLOOKUP(C15,Poster_Präs.,2,TRUE)))</f>
        <v>0</v>
      </c>
    </row>
    <row r="18" spans="1:3" ht="29.7" customHeight="1" thickTop="1" thickBot="1">
      <c r="A18" s="40"/>
      <c r="B18" s="40"/>
      <c r="C18" s="79"/>
    </row>
    <row r="19" spans="1:3" ht="29.7" customHeight="1" thickTop="1" thickBot="1">
      <c r="A19" s="76" t="s">
        <v>13</v>
      </c>
      <c r="B19" s="77"/>
      <c r="C19" s="78" t="str">
        <f>IF(C10="","",ROUND((C10*2+C17)/3*2,0)/2)</f>
        <v/>
      </c>
    </row>
    <row r="20" spans="1:3" ht="29.7" customHeight="1" thickTop="1" thickBot="1">
      <c r="A20" s="35"/>
      <c r="B20" s="50"/>
      <c r="C20" s="57"/>
    </row>
    <row r="21" spans="1:3" ht="29.7" customHeight="1" thickTop="1">
      <c r="A21" s="20" t="s">
        <v>14</v>
      </c>
      <c r="B21" s="89"/>
    </row>
    <row r="22" spans="1:3" ht="29.7" customHeight="1">
      <c r="A22" s="60" t="s">
        <v>15</v>
      </c>
      <c r="B22" s="59" t="s">
        <v>16</v>
      </c>
    </row>
    <row r="23" spans="1:3" ht="15" customHeight="1">
      <c r="A23" s="228"/>
      <c r="B23" s="229"/>
    </row>
    <row r="24" spans="1:3" ht="15" customHeight="1">
      <c r="A24" s="230"/>
      <c r="B24" s="231"/>
    </row>
    <row r="25" spans="1:3" ht="15.75" customHeight="1">
      <c r="A25" s="232"/>
      <c r="B25" s="233"/>
    </row>
    <row r="26" spans="1:3" ht="29.7" customHeight="1">
      <c r="A26" s="82" t="s">
        <v>17</v>
      </c>
      <c r="B26" s="59" t="s">
        <v>16</v>
      </c>
    </row>
    <row r="27" spans="1:3" ht="15" customHeight="1">
      <c r="A27" s="228"/>
      <c r="B27" s="229"/>
    </row>
    <row r="28" spans="1:3" ht="15" customHeight="1">
      <c r="A28" s="230"/>
      <c r="B28" s="231"/>
    </row>
    <row r="29" spans="1:3" ht="15" customHeight="1" thickBot="1">
      <c r="A29" s="234"/>
      <c r="B29" s="235"/>
    </row>
    <row r="30" spans="1:3" s="24" customFormat="1" ht="15.6" thickTop="1">
      <c r="A30" s="8"/>
      <c r="B30" s="8"/>
      <c r="C30" s="10"/>
    </row>
    <row r="31" spans="1:3" s="24" customFormat="1">
      <c r="A31" s="3" t="s">
        <v>18</v>
      </c>
      <c r="B31" s="3"/>
      <c r="C31" s="10"/>
    </row>
    <row r="32" spans="1:3" s="24" customFormat="1">
      <c r="A32" s="4" t="s">
        <v>19</v>
      </c>
      <c r="B32" s="3"/>
      <c r="C32" s="10"/>
    </row>
    <row r="33" spans="1:3" s="24" customFormat="1" ht="26.25" customHeight="1">
      <c r="A33" s="81" t="s">
        <v>20</v>
      </c>
      <c r="B33" s="65"/>
      <c r="C33" s="10"/>
    </row>
    <row r="34" spans="1:3" s="24" customFormat="1" ht="18.75" customHeight="1">
      <c r="A34" s="66" t="s">
        <v>21</v>
      </c>
      <c r="B34" s="7"/>
      <c r="C34" s="10"/>
    </row>
    <row r="35" spans="1:3" s="24" customFormat="1">
      <c r="B35" s="4"/>
      <c r="C35" s="10"/>
    </row>
  </sheetData>
  <sheetProtection sheet="1" objects="1" scenarios="1"/>
  <mergeCells count="2">
    <mergeCell ref="A23:B25"/>
    <mergeCell ref="A27:B29"/>
  </mergeCells>
  <dataValidations count="3">
    <dataValidation allowBlank="1" showInputMessage="1" showErrorMessage="1" sqref="C10 C13:C15 C5:C8" xr:uid="{3A8984C7-B0EB-4841-AD65-D5A57EA4D7CC}"/>
    <dataValidation type="decimal" operator="lessThanOrEqual" allowBlank="1" showInputMessage="1" showErrorMessage="1" errorTitle="maximal 60 Punkte zulässig" sqref="C11 C20" xr:uid="{B9291058-8F63-4C11-8D38-AA3211FB2D6A}">
      <formula1>60</formula1>
    </dataValidation>
    <dataValidation type="whole" operator="lessThanOrEqual" allowBlank="1" showInputMessage="1" showErrorMessage="1" errorTitle="Achtung" error="Maximal 10 Punkte sind ereichbar." sqref="C9 C16 C18" xr:uid="{EBC67365-C5C0-441E-9FD1-ED9408D423A2}">
      <formula1>10</formula1>
    </dataValidation>
  </dataValidations>
  <pageMargins left="0.70866141732283472" right="0.70866141732283472" top="0.39370078740157483" bottom="0.39370078740157483" header="0.31496062992125984" footer="0.31496062992125984"/>
  <pageSetup paperSize="9" scale="65" orientation="landscape" r:id="rId1"/>
  <headerFooter>
    <oddFooter>&amp;L&amp;D&amp;R&amp;"Arial,Standard"&amp;9&amp;P/&amp;N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1377C-745B-4856-A7BA-8F7B22D10247}">
  <sheetPr codeName="Tabelle3">
    <tabColor theme="8" tint="-0.249977111117893"/>
    <pageSetUpPr fitToPage="1"/>
  </sheetPr>
  <dimension ref="A1:F55"/>
  <sheetViews>
    <sheetView zoomScale="77" zoomScaleNormal="145" workbookViewId="0">
      <pane ySplit="1" topLeftCell="A33" activePane="bottomLeft" state="frozen"/>
      <selection pane="bottomLeft" activeCell="E53" sqref="E53"/>
    </sheetView>
  </sheetViews>
  <sheetFormatPr baseColWidth="10" defaultColWidth="11.33203125" defaultRowHeight="13.8"/>
  <cols>
    <col min="1" max="1" width="20.33203125" style="7" customWidth="1"/>
    <col min="2" max="2" width="9" style="10" customWidth="1"/>
    <col min="3" max="3" width="49.33203125" style="7" customWidth="1"/>
    <col min="4" max="4" width="11.33203125" style="7"/>
    <col min="5" max="5" width="49.33203125" style="24" customWidth="1"/>
    <col min="6" max="6" width="11.33203125" style="90"/>
    <col min="7" max="16384" width="11.33203125" style="7"/>
  </cols>
  <sheetData>
    <row r="1" spans="1:6" ht="30" customHeight="1">
      <c r="A1" s="237" t="s">
        <v>75</v>
      </c>
      <c r="B1" s="237"/>
      <c r="C1" s="38" t="str">
        <f>Notenblatt!B1</f>
        <v>Jan Haag, G3c</v>
      </c>
    </row>
    <row r="2" spans="1:6" s="2" customFormat="1" ht="27" customHeight="1" thickBot="1">
      <c r="A2" s="21" t="s">
        <v>144</v>
      </c>
      <c r="B2" s="11"/>
      <c r="C2" s="194"/>
      <c r="E2" s="195"/>
      <c r="F2" s="196"/>
    </row>
    <row r="3" spans="1:6" ht="27.6" customHeight="1" thickBot="1">
      <c r="A3" s="193" t="str">
        <f>Notenblatt!A3</f>
        <v>Titel der Arbeit</v>
      </c>
      <c r="B3" s="193"/>
      <c r="C3" s="240" t="str">
        <f>IF(Projektvereinbarung!B10="","",Projektvereinbarung!B10)</f>
        <v>Programmierung und Optimierung eines Programmes für die Erkennung von handgeschriebenen Zahlen</v>
      </c>
      <c r="D3" s="240"/>
      <c r="E3" s="240"/>
      <c r="F3" s="241"/>
    </row>
    <row r="4" spans="1:6" ht="27.6" customHeight="1" thickBot="1">
      <c r="A4" s="238" t="s">
        <v>22</v>
      </c>
      <c r="B4" s="238"/>
      <c r="C4" s="239"/>
      <c r="D4" s="239"/>
      <c r="E4" s="239"/>
      <c r="F4" s="239"/>
    </row>
    <row r="5" spans="1:6" ht="28.2" thickBot="1">
      <c r="A5" s="28" t="s">
        <v>23</v>
      </c>
      <c r="B5" s="29" t="s">
        <v>24</v>
      </c>
      <c r="C5" s="30" t="s">
        <v>25</v>
      </c>
      <c r="D5" s="31" t="s">
        <v>26</v>
      </c>
      <c r="E5" s="32" t="s">
        <v>27</v>
      </c>
      <c r="F5" s="92" t="s">
        <v>28</v>
      </c>
    </row>
    <row r="6" spans="1:6" ht="75" customHeight="1" thickTop="1">
      <c r="A6" s="152" t="s">
        <v>145</v>
      </c>
      <c r="B6" s="153" t="s">
        <v>30</v>
      </c>
      <c r="C6" s="154" t="s">
        <v>148</v>
      </c>
      <c r="D6" s="164">
        <v>5</v>
      </c>
      <c r="E6" s="161"/>
      <c r="F6" s="167"/>
    </row>
    <row r="7" spans="1:6" ht="75" customHeight="1">
      <c r="A7" s="155" t="s">
        <v>31</v>
      </c>
      <c r="B7" s="156" t="s">
        <v>32</v>
      </c>
      <c r="C7" s="157" t="s">
        <v>149</v>
      </c>
      <c r="D7" s="165">
        <v>10</v>
      </c>
      <c r="E7" s="162"/>
      <c r="F7" s="168"/>
    </row>
    <row r="8" spans="1:6" ht="75" customHeight="1">
      <c r="A8" s="155" t="s">
        <v>33</v>
      </c>
      <c r="B8" s="156" t="s">
        <v>146</v>
      </c>
      <c r="C8" s="157" t="s">
        <v>150</v>
      </c>
      <c r="D8" s="165">
        <v>15</v>
      </c>
      <c r="E8" s="162"/>
      <c r="F8" s="168"/>
    </row>
    <row r="9" spans="1:6" ht="75" customHeight="1">
      <c r="A9" s="155" t="s">
        <v>34</v>
      </c>
      <c r="B9" s="158" t="s">
        <v>30</v>
      </c>
      <c r="C9" s="157" t="s">
        <v>153</v>
      </c>
      <c r="D9" s="165">
        <v>5</v>
      </c>
      <c r="E9" s="162"/>
      <c r="F9" s="168"/>
    </row>
    <row r="10" spans="1:6" ht="75" customHeight="1" thickBot="1">
      <c r="A10" s="159" t="s">
        <v>35</v>
      </c>
      <c r="B10" s="192" t="s">
        <v>147</v>
      </c>
      <c r="C10" s="160" t="s">
        <v>151</v>
      </c>
      <c r="D10" s="166">
        <v>15</v>
      </c>
      <c r="E10" s="163"/>
      <c r="F10" s="169"/>
    </row>
    <row r="11" spans="1:6" ht="32.25" customHeight="1" thickTop="1" thickBot="1">
      <c r="A11" s="13" t="s">
        <v>4</v>
      </c>
      <c r="B11" s="14" t="s">
        <v>152</v>
      </c>
      <c r="C11" s="15"/>
      <c r="D11" s="14">
        <f>IF(SUM(D6:D10)&lt;=50,SUM(D6:D10),"max. 50 Punkte")</f>
        <v>50</v>
      </c>
      <c r="E11" s="27"/>
      <c r="F11" s="93">
        <f>IF(SUM(F6:F10)&lt;=50,SUM(F6:F10),"max. 50 Punkte")</f>
        <v>0</v>
      </c>
    </row>
    <row r="12" spans="1:6" ht="27" customHeight="1" thickTop="1" thickBot="1">
      <c r="A12" s="236" t="s">
        <v>162</v>
      </c>
      <c r="B12" s="236"/>
      <c r="C12" s="236"/>
      <c r="D12" s="236"/>
      <c r="E12" s="236"/>
      <c r="F12" s="236"/>
    </row>
    <row r="13" spans="1:6" ht="31.5" customHeight="1" thickBot="1">
      <c r="A13" s="150" t="s">
        <v>23</v>
      </c>
      <c r="B13" s="29" t="s">
        <v>24</v>
      </c>
      <c r="C13" s="30" t="s">
        <v>25</v>
      </c>
      <c r="D13" s="29" t="s">
        <v>36</v>
      </c>
      <c r="E13" s="32" t="s">
        <v>27</v>
      </c>
      <c r="F13" s="92" t="s">
        <v>28</v>
      </c>
    </row>
    <row r="14" spans="1:6" ht="15" thickTop="1" thickBot="1">
      <c r="A14" s="242" t="s">
        <v>37</v>
      </c>
      <c r="B14" s="243"/>
      <c r="C14" s="243"/>
      <c r="D14" s="243"/>
      <c r="E14" s="243"/>
      <c r="F14" s="244"/>
    </row>
    <row r="15" spans="1:6" ht="75" customHeight="1">
      <c r="A15" s="170" t="s">
        <v>29</v>
      </c>
      <c r="B15" s="171" t="s">
        <v>38</v>
      </c>
      <c r="C15" s="172" t="s">
        <v>154</v>
      </c>
      <c r="D15" s="173">
        <v>1</v>
      </c>
      <c r="E15" s="210"/>
      <c r="F15" s="174"/>
    </row>
    <row r="16" spans="1:6" ht="105" customHeight="1">
      <c r="A16" s="155" t="s">
        <v>31</v>
      </c>
      <c r="B16" s="158" t="s">
        <v>38</v>
      </c>
      <c r="C16" s="157" t="s">
        <v>157</v>
      </c>
      <c r="D16" s="165">
        <v>2</v>
      </c>
      <c r="E16" s="175"/>
      <c r="F16" s="168"/>
    </row>
    <row r="17" spans="1:6" ht="90" customHeight="1">
      <c r="A17" s="155" t="s">
        <v>39</v>
      </c>
      <c r="B17" s="158" t="s">
        <v>40</v>
      </c>
      <c r="C17" s="157" t="s">
        <v>160</v>
      </c>
      <c r="D17" s="165">
        <v>4</v>
      </c>
      <c r="E17" s="175"/>
      <c r="F17" s="168"/>
    </row>
    <row r="18" spans="1:6" ht="90" customHeight="1">
      <c r="A18" s="155" t="s">
        <v>33</v>
      </c>
      <c r="B18" s="158" t="s">
        <v>30</v>
      </c>
      <c r="C18" s="157" t="s">
        <v>156</v>
      </c>
      <c r="D18" s="165">
        <v>5</v>
      </c>
      <c r="E18" s="175"/>
      <c r="F18" s="168"/>
    </row>
    <row r="19" spans="1:6" ht="90" customHeight="1">
      <c r="A19" s="155" t="s">
        <v>34</v>
      </c>
      <c r="B19" s="158" t="s">
        <v>38</v>
      </c>
      <c r="C19" s="157" t="s">
        <v>155</v>
      </c>
      <c r="D19" s="165">
        <v>2</v>
      </c>
      <c r="E19" s="175"/>
      <c r="F19" s="168"/>
    </row>
    <row r="20" spans="1:6">
      <c r="A20" s="245" t="s">
        <v>41</v>
      </c>
      <c r="B20" s="246"/>
      <c r="C20" s="246"/>
      <c r="D20" s="247"/>
      <c r="E20" s="248"/>
      <c r="F20" s="249"/>
    </row>
    <row r="21" spans="1:6" ht="120" customHeight="1">
      <c r="A21" s="155" t="s">
        <v>35</v>
      </c>
      <c r="B21" s="158" t="s">
        <v>30</v>
      </c>
      <c r="C21" s="157" t="s">
        <v>126</v>
      </c>
      <c r="D21" s="165">
        <v>10</v>
      </c>
      <c r="E21" s="175"/>
      <c r="F21" s="168"/>
    </row>
    <row r="22" spans="1:6" ht="90" customHeight="1">
      <c r="A22" s="155" t="s">
        <v>42</v>
      </c>
      <c r="B22" s="158" t="s">
        <v>40</v>
      </c>
      <c r="C22" s="157" t="s">
        <v>127</v>
      </c>
      <c r="D22" s="165">
        <v>4</v>
      </c>
      <c r="E22" s="175"/>
      <c r="F22" s="168"/>
    </row>
    <row r="23" spans="1:6" ht="90" customHeight="1" thickBot="1">
      <c r="A23" s="159" t="s">
        <v>43</v>
      </c>
      <c r="B23" s="181" t="s">
        <v>38</v>
      </c>
      <c r="C23" s="160" t="s">
        <v>158</v>
      </c>
      <c r="D23" s="166">
        <v>2</v>
      </c>
      <c r="E23" s="182"/>
      <c r="F23" s="169"/>
    </row>
    <row r="24" spans="1:6" ht="28.8" thickTop="1" thickBot="1">
      <c r="A24" s="23" t="s">
        <v>113</v>
      </c>
      <c r="B24" s="26" t="s">
        <v>159</v>
      </c>
      <c r="C24" s="14"/>
      <c r="D24" s="14">
        <f>IF(SUM(D15:D23)&lt;=40,SUM(D15:D23),"max. 40 Punkte")</f>
        <v>30</v>
      </c>
      <c r="E24" s="14"/>
      <c r="F24" s="93">
        <f>IF(SUM(F15:F23)&lt;=40,SUM(F15:F23),"max. 40 Punkte")</f>
        <v>0</v>
      </c>
    </row>
    <row r="25" spans="1:6" ht="28.8" thickTop="1" thickBot="1">
      <c r="A25" s="23" t="s">
        <v>114</v>
      </c>
      <c r="B25" s="18">
        <v>80</v>
      </c>
      <c r="C25" s="18"/>
      <c r="D25" s="19">
        <f>IF(SUM(D24,D11)&lt;=80,SUM(D24,D11),"max. 80 Punkte")</f>
        <v>80</v>
      </c>
      <c r="E25" s="14"/>
      <c r="F25" s="93">
        <f>IF(SUM(F24,F11)&lt;=80,SUM(F24,F11),"max. 80 Punkte")</f>
        <v>0</v>
      </c>
    </row>
    <row r="26" spans="1:6" ht="27" customHeight="1" thickTop="1" thickBot="1">
      <c r="A26" s="236" t="s">
        <v>44</v>
      </c>
      <c r="B26" s="236"/>
      <c r="C26" s="236"/>
      <c r="D26" s="236"/>
      <c r="E26" s="236"/>
      <c r="F26" s="236"/>
    </row>
    <row r="27" spans="1:6" ht="30.75" customHeight="1" thickBot="1">
      <c r="A27" s="150" t="s">
        <v>23</v>
      </c>
      <c r="B27" s="260" t="s">
        <v>25</v>
      </c>
      <c r="C27" s="261"/>
      <c r="D27" s="29" t="s">
        <v>24</v>
      </c>
      <c r="E27" s="32" t="s">
        <v>27</v>
      </c>
      <c r="F27" s="94" t="s">
        <v>28</v>
      </c>
    </row>
    <row r="28" spans="1:6" ht="75" customHeight="1" thickTop="1">
      <c r="A28" s="176" t="s">
        <v>45</v>
      </c>
      <c r="B28" s="262" t="s">
        <v>122</v>
      </c>
      <c r="C28" s="263"/>
      <c r="D28" s="177">
        <v>5</v>
      </c>
      <c r="E28" s="178"/>
      <c r="F28" s="167"/>
    </row>
    <row r="29" spans="1:6" ht="125.1" customHeight="1">
      <c r="A29" s="179" t="s">
        <v>46</v>
      </c>
      <c r="B29" s="264" t="s">
        <v>123</v>
      </c>
      <c r="C29" s="265"/>
      <c r="D29" s="180">
        <v>5</v>
      </c>
      <c r="E29" s="175"/>
      <c r="F29" s="168"/>
    </row>
    <row r="30" spans="1:6" ht="150" customHeight="1">
      <c r="A30" s="179" t="s">
        <v>47</v>
      </c>
      <c r="B30" s="264" t="s">
        <v>124</v>
      </c>
      <c r="C30" s="265"/>
      <c r="D30" s="180">
        <v>5</v>
      </c>
      <c r="E30" s="175"/>
      <c r="F30" s="168"/>
    </row>
    <row r="31" spans="1:6" ht="60" customHeight="1" thickBot="1">
      <c r="A31" s="179" t="s">
        <v>48</v>
      </c>
      <c r="B31" s="266" t="s">
        <v>125</v>
      </c>
      <c r="C31" s="267"/>
      <c r="D31" s="180">
        <v>5</v>
      </c>
      <c r="E31" s="175"/>
      <c r="F31" s="168"/>
    </row>
    <row r="32" spans="1:6" ht="28.8" thickTop="1" thickBot="1">
      <c r="A32" s="17" t="s">
        <v>5</v>
      </c>
      <c r="B32" s="18">
        <v>20</v>
      </c>
      <c r="C32" s="18"/>
      <c r="D32" s="18">
        <f>IF(SUM(D28:D31)&lt;=20,SUM(D28:D31),"max. 20 Punkte")</f>
        <v>20</v>
      </c>
      <c r="E32" s="19"/>
      <c r="F32" s="93">
        <f>IF(SUM(F28:F31)&lt;=20,SUM(F28:F31),"max. 20 Punkte")</f>
        <v>0</v>
      </c>
    </row>
    <row r="33" spans="1:6" ht="42.6" thickTop="1" thickBot="1">
      <c r="A33" s="17" t="s">
        <v>115</v>
      </c>
      <c r="B33" s="18">
        <v>100</v>
      </c>
      <c r="C33" s="18"/>
      <c r="D33" s="19">
        <f>IF(SUM(D32,D25)&lt;=100,SUM(D32,D25),"max. 100 Punkte")</f>
        <v>100</v>
      </c>
      <c r="E33" s="84"/>
      <c r="F33" s="93">
        <f>IF(SUM(F32,F25)&lt;=100,SUM(F32,F25),"max. 100 Punkte")</f>
        <v>0</v>
      </c>
    </row>
    <row r="34" spans="1:6" ht="15" thickTop="1" thickBot="1">
      <c r="A34" s="1"/>
      <c r="B34" s="250"/>
      <c r="C34" s="250"/>
      <c r="D34" s="250"/>
      <c r="E34" s="85"/>
      <c r="F34" s="95"/>
    </row>
    <row r="35" spans="1:6" ht="27" customHeight="1" thickTop="1">
      <c r="A35" s="20" t="s">
        <v>14</v>
      </c>
      <c r="B35" s="251">
        <v>45051</v>
      </c>
      <c r="C35" s="252"/>
      <c r="D35" s="253"/>
      <c r="E35" s="86" t="s">
        <v>14</v>
      </c>
      <c r="F35" s="96"/>
    </row>
    <row r="36" spans="1:6" ht="27" customHeight="1">
      <c r="A36" s="254" t="s">
        <v>49</v>
      </c>
      <c r="B36" s="255"/>
      <c r="C36" s="255"/>
      <c r="D36" s="256"/>
      <c r="E36" s="87" t="s">
        <v>50</v>
      </c>
      <c r="F36" s="97" t="s">
        <v>16</v>
      </c>
    </row>
    <row r="37" spans="1:6" ht="15" customHeight="1">
      <c r="A37" s="257" t="s">
        <v>170</v>
      </c>
      <c r="B37" s="258"/>
      <c r="C37" s="258"/>
      <c r="D37" s="259"/>
      <c r="E37" s="269" t="s">
        <v>171</v>
      </c>
      <c r="F37" s="270"/>
    </row>
    <row r="38" spans="1:6" ht="15" customHeight="1">
      <c r="A38" s="257"/>
      <c r="B38" s="258"/>
      <c r="C38" s="258"/>
      <c r="D38" s="259"/>
      <c r="E38" s="271"/>
      <c r="F38" s="272"/>
    </row>
    <row r="39" spans="1:6" ht="15.75" customHeight="1">
      <c r="A39" s="257"/>
      <c r="B39" s="258"/>
      <c r="C39" s="258"/>
      <c r="D39" s="259"/>
      <c r="E39" s="273"/>
      <c r="F39" s="274"/>
    </row>
    <row r="40" spans="1:6" ht="27" customHeight="1">
      <c r="A40" s="254" t="s">
        <v>15</v>
      </c>
      <c r="B40" s="255"/>
      <c r="C40" s="255"/>
      <c r="D40" s="256"/>
      <c r="E40" s="88" t="s">
        <v>51</v>
      </c>
      <c r="F40" s="98" t="s">
        <v>16</v>
      </c>
    </row>
    <row r="41" spans="1:6" ht="15" customHeight="1">
      <c r="A41" s="257" t="s">
        <v>171</v>
      </c>
      <c r="B41" s="258"/>
      <c r="C41" s="258"/>
      <c r="D41" s="259"/>
      <c r="E41" s="269"/>
      <c r="F41" s="270"/>
    </row>
    <row r="42" spans="1:6" ht="15" customHeight="1">
      <c r="A42" s="257"/>
      <c r="B42" s="258"/>
      <c r="C42" s="258"/>
      <c r="D42" s="259"/>
      <c r="E42" s="271"/>
      <c r="F42" s="272"/>
    </row>
    <row r="43" spans="1:6" ht="15" customHeight="1" thickBot="1">
      <c r="A43" s="277"/>
      <c r="B43" s="278"/>
      <c r="C43" s="278"/>
      <c r="D43" s="279"/>
      <c r="E43" s="275"/>
      <c r="F43" s="276"/>
    </row>
    <row r="44" spans="1:6" ht="15" customHeight="1" thickTop="1">
      <c r="A44" s="8"/>
      <c r="B44" s="9"/>
      <c r="C44" s="8"/>
      <c r="D44" s="8"/>
    </row>
    <row r="45" spans="1:6">
      <c r="A45" s="3" t="s">
        <v>76</v>
      </c>
    </row>
    <row r="46" spans="1:6">
      <c r="A46" s="4" t="s">
        <v>52</v>
      </c>
    </row>
    <row r="47" spans="1:6" ht="40.5" customHeight="1">
      <c r="A47" s="268" t="s">
        <v>142</v>
      </c>
      <c r="B47" s="268"/>
      <c r="C47" s="268"/>
      <c r="D47" s="268"/>
    </row>
    <row r="48" spans="1:6" ht="12" customHeight="1"/>
    <row r="49" spans="1:4">
      <c r="A49" s="4" t="s">
        <v>53</v>
      </c>
    </row>
    <row r="50" spans="1:4" ht="15" customHeight="1"/>
    <row r="51" spans="1:4">
      <c r="A51" s="3" t="s">
        <v>77</v>
      </c>
    </row>
    <row r="52" spans="1:4">
      <c r="A52" s="4" t="s">
        <v>143</v>
      </c>
    </row>
    <row r="53" spans="1:4" ht="40.5" customHeight="1">
      <c r="A53" s="268" t="s">
        <v>79</v>
      </c>
      <c r="B53" s="268"/>
      <c r="C53" s="268"/>
      <c r="D53" s="268"/>
    </row>
    <row r="54" spans="1:4" ht="12" customHeight="1"/>
    <row r="55" spans="1:4">
      <c r="A55" s="4" t="s">
        <v>80</v>
      </c>
    </row>
  </sheetData>
  <sheetProtection sheet="1" objects="1" scenarios="1"/>
  <mergeCells count="27">
    <mergeCell ref="A53:D53"/>
    <mergeCell ref="E37:F39"/>
    <mergeCell ref="E41:F43"/>
    <mergeCell ref="A41:D43"/>
    <mergeCell ref="A47:D47"/>
    <mergeCell ref="B27:C27"/>
    <mergeCell ref="B28:C28"/>
    <mergeCell ref="B29:C29"/>
    <mergeCell ref="B30:C30"/>
    <mergeCell ref="B31:C31"/>
    <mergeCell ref="B34:D34"/>
    <mergeCell ref="B35:D35"/>
    <mergeCell ref="A36:D36"/>
    <mergeCell ref="A37:D39"/>
    <mergeCell ref="A40:D40"/>
    <mergeCell ref="A14:D14"/>
    <mergeCell ref="E14:F14"/>
    <mergeCell ref="A20:D20"/>
    <mergeCell ref="E20:F20"/>
    <mergeCell ref="A26:D26"/>
    <mergeCell ref="E26:F26"/>
    <mergeCell ref="A12:D12"/>
    <mergeCell ref="E12:F12"/>
    <mergeCell ref="A1:B1"/>
    <mergeCell ref="A4:D4"/>
    <mergeCell ref="E4:F4"/>
    <mergeCell ref="C3:F3"/>
  </mergeCells>
  <dataValidations count="14">
    <dataValidation type="decimal" operator="lessThanOrEqual" allowBlank="1" showInputMessage="1" showErrorMessage="1" errorTitle="Achtung" error="Maximal 5 Punkte sind ereichbar." sqref="F15:F16 F28:F31 F19 F23" xr:uid="{74A06642-2945-46D2-98D0-3F3DF0AE34CB}">
      <formula1>5</formula1>
    </dataValidation>
    <dataValidation type="decimal" operator="lessThanOrEqual" allowBlank="1" showInputMessage="1" showErrorMessage="1" errorTitle="Achtung" error="Maximal 8 Punkte sind ereichbar." sqref="F17 F22" xr:uid="{9A4D868C-7C30-495B-9EEA-16715CF9729B}">
      <formula1>8</formula1>
    </dataValidation>
    <dataValidation type="decimal" operator="lessThanOrEqual" allowBlank="1" showInputMessage="1" showErrorMessage="1" errorTitle="Achtung" error="Maximal 15 Punkte sind ereichbar." sqref="F7" xr:uid="{FB9AC56E-E8FE-4D2F-B456-6E95908FBB93}">
      <formula1>15</formula1>
    </dataValidation>
    <dataValidation type="decimal" operator="lessThanOrEqual" allowBlank="1" showInputMessage="1" showErrorMessage="1" errorTitle="Achtung" error="Maximal 10 Punkte sind ereichbar." sqref="F6 F9 F18 F21" xr:uid="{34B50235-E7A2-4A63-8AB4-B43EA2306D03}">
      <formula1>10</formula1>
    </dataValidation>
    <dataValidation type="whole" allowBlank="1" showInputMessage="1" showErrorMessage="1" errorTitle="Achtung" error="Nur zwischen 4-8 Punkte sind zulässig." sqref="D17 D22" xr:uid="{042680D3-D623-4576-AC4E-E97C34A7B577}">
      <formula1>4</formula1>
      <formula2>8</formula2>
    </dataValidation>
    <dataValidation type="whole" allowBlank="1" showInputMessage="1" showErrorMessage="1" errorTitle="Achtung" error="Nur zwischen 1-5 Punkte sind zulässig." sqref="D15:D16 D19 D23" xr:uid="{35F0C762-3F74-4010-AC04-590D036FCE71}">
      <formula1>1</formula1>
      <formula2>5</formula2>
    </dataValidation>
    <dataValidation type="whole" allowBlank="1" showInputMessage="1" showErrorMessage="1" errorTitle="Achtung" error="Nur zwischen 5-15 Punkte sind zulässig." sqref="D7" xr:uid="{03818D2F-A5F2-448D-9C3B-C5F157F8AF78}">
      <formula1>5</formula1>
      <formula2>15</formula2>
    </dataValidation>
    <dataValidation type="whole" allowBlank="1" showInputMessage="1" showErrorMessage="1" errorTitle="Achtung" error="Nur zwischen 5-10 Punkte sind zulässig." sqref="D9 D6 D18 D21" xr:uid="{6DEE77E3-0CB4-4307-8A4E-0499B21B44DF}">
      <formula1>5</formula1>
      <formula2>10</formula2>
    </dataValidation>
    <dataValidation type="decimal" operator="lessThanOrEqual" allowBlank="1" showInputMessage="1" showErrorMessage="1" errorTitle="maximal 60 Punkte zulässig" sqref="D11" xr:uid="{D4BB6E62-77DA-491F-8EFD-DB1530E6C8E4}">
      <formula1>60</formula1>
    </dataValidation>
    <dataValidation allowBlank="1" showInputMessage="1" showErrorMessage="1" sqref="D29:D31" xr:uid="{E1CD5614-EC49-4CE2-B945-0BE3A85D023D}"/>
    <dataValidation type="whole" allowBlank="1" showInputMessage="1" showErrorMessage="1" errorTitle="Achtung" error="Nur zwischen 10-20 Punkte sind zulässig." sqref="D8" xr:uid="{6282BD9D-2077-4747-9577-A77C08CB46F0}">
      <formula1>10</formula1>
      <formula2>20</formula2>
    </dataValidation>
    <dataValidation type="whole" allowBlank="1" showInputMessage="1" showErrorMessage="1" errorTitle="Achtung" error="Nur zwischen 10-15 Punkte sind zulässig." sqref="D10" xr:uid="{418126F3-E930-44D4-8D4B-FF2F7F68732E}">
      <formula1>10</formula1>
      <formula2>15</formula2>
    </dataValidation>
    <dataValidation type="decimal" operator="lessThanOrEqual" allowBlank="1" showInputMessage="1" showErrorMessage="1" errorTitle="Achtung" error="Maximal 20 Punkte sind ereichbar." sqref="F8" xr:uid="{3052ED3F-C761-466D-BCC9-AFCCE5AD7898}">
      <formula1>20</formula1>
    </dataValidation>
    <dataValidation type="decimal" operator="lessThanOrEqual" allowBlank="1" showInputMessage="1" showErrorMessage="1" errorTitle="Achtung" error="Maximal 15 Punkte sind ereichbar.." sqref="F10" xr:uid="{1A346922-F46A-4056-8CFE-593939D6802F}">
      <formula1>15</formula1>
    </dataValidation>
  </dataValidations>
  <pageMargins left="0.9055118110236221" right="0.51181102362204722" top="0.39370078740157483" bottom="0.39370078740157483" header="0.31496062992125984" footer="0.31496062992125984"/>
  <pageSetup paperSize="9" scale="86" fitToHeight="0" orientation="landscape" r:id="rId1"/>
  <headerFooter>
    <oddFooter>&amp;L&amp;9&amp;D&amp;R&amp;"Arial,Standard"&amp;9&amp;P/&amp;N</oddFooter>
  </headerFooter>
  <rowBreaks count="4" manualBreakCount="4">
    <brk id="11" max="16383" man="1"/>
    <brk id="19" max="16383" man="1"/>
    <brk id="25" max="16383" man="1"/>
    <brk id="3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AECB7-441C-4B27-90B6-8764646863C6}">
  <sheetPr codeName="Tabelle4">
    <tabColor theme="5" tint="-0.249977111117893"/>
    <pageSetUpPr fitToPage="1"/>
  </sheetPr>
  <dimension ref="A1:F56"/>
  <sheetViews>
    <sheetView zoomScaleNormal="100" workbookViewId="0">
      <pane ySplit="1" topLeftCell="A2" activePane="bottomLeft" state="frozen"/>
      <selection pane="bottomLeft" activeCell="D6" sqref="D6"/>
    </sheetView>
  </sheetViews>
  <sheetFormatPr baseColWidth="10" defaultColWidth="11.33203125" defaultRowHeight="13.8"/>
  <cols>
    <col min="1" max="1" width="20.33203125" style="7" customWidth="1"/>
    <col min="2" max="2" width="9" style="10" customWidth="1"/>
    <col min="3" max="3" width="49.33203125" style="7" customWidth="1"/>
    <col min="4" max="4" width="11.33203125" style="7"/>
    <col min="5" max="5" width="49.33203125" style="24" customWidth="1"/>
    <col min="6" max="6" width="11.33203125" style="90"/>
    <col min="7" max="16384" width="11.33203125" style="7"/>
  </cols>
  <sheetData>
    <row r="1" spans="1:6" ht="30" customHeight="1">
      <c r="A1" s="237" t="s">
        <v>75</v>
      </c>
      <c r="B1" s="237"/>
      <c r="C1" s="38" t="str">
        <f>Notenblatt!B1</f>
        <v>Jan Haag, G3c</v>
      </c>
    </row>
    <row r="2" spans="1:6" s="2" customFormat="1" ht="27" customHeight="1" thickBot="1">
      <c r="A2" s="21" t="s">
        <v>144</v>
      </c>
      <c r="B2" s="11"/>
      <c r="C2" s="194"/>
      <c r="E2" s="195"/>
      <c r="F2" s="196"/>
    </row>
    <row r="3" spans="1:6" ht="27.6" customHeight="1" thickBot="1">
      <c r="A3" s="197" t="str">
        <f>Notenblatt!A3</f>
        <v>Titel der Arbeit</v>
      </c>
      <c r="B3" s="197"/>
      <c r="C3" s="240" t="str">
        <f>IF(Projektvereinbarung!B10="","",Projektvereinbarung!B10)</f>
        <v>Programmierung und Optimierung eines Programmes für die Erkennung von handgeschriebenen Zahlen</v>
      </c>
      <c r="D3" s="240"/>
      <c r="E3" s="240"/>
      <c r="F3" s="241"/>
    </row>
    <row r="4" spans="1:6" ht="27.6" customHeight="1" thickBot="1">
      <c r="A4" s="238" t="s">
        <v>22</v>
      </c>
      <c r="B4" s="238"/>
      <c r="C4" s="238"/>
      <c r="D4" s="238"/>
      <c r="E4" s="238"/>
      <c r="F4" s="238"/>
    </row>
    <row r="5" spans="1:6" ht="28.2" thickBot="1">
      <c r="A5" s="28" t="s">
        <v>23</v>
      </c>
      <c r="B5" s="29" t="s">
        <v>24</v>
      </c>
      <c r="C5" s="30" t="s">
        <v>25</v>
      </c>
      <c r="D5" s="31" t="s">
        <v>26</v>
      </c>
      <c r="E5" s="32" t="s">
        <v>27</v>
      </c>
      <c r="F5" s="92" t="s">
        <v>28</v>
      </c>
    </row>
    <row r="6" spans="1:6" ht="75" customHeight="1" thickTop="1">
      <c r="A6" s="152" t="s">
        <v>145</v>
      </c>
      <c r="B6" s="153" t="s">
        <v>30</v>
      </c>
      <c r="C6" s="154" t="s">
        <v>148</v>
      </c>
      <c r="D6" s="164"/>
      <c r="E6" s="161"/>
      <c r="F6" s="167"/>
    </row>
    <row r="7" spans="1:6" ht="75" customHeight="1">
      <c r="A7" s="155" t="s">
        <v>31</v>
      </c>
      <c r="B7" s="156" t="s">
        <v>32</v>
      </c>
      <c r="C7" s="157" t="s">
        <v>149</v>
      </c>
      <c r="D7" s="165"/>
      <c r="E7" s="162"/>
      <c r="F7" s="168"/>
    </row>
    <row r="8" spans="1:6" ht="75" customHeight="1">
      <c r="A8" s="155" t="s">
        <v>33</v>
      </c>
      <c r="B8" s="156" t="s">
        <v>146</v>
      </c>
      <c r="C8" s="157" t="s">
        <v>150</v>
      </c>
      <c r="D8" s="165"/>
      <c r="E8" s="162"/>
      <c r="F8" s="168"/>
    </row>
    <row r="9" spans="1:6" ht="75" customHeight="1">
      <c r="A9" s="155" t="s">
        <v>34</v>
      </c>
      <c r="B9" s="158" t="s">
        <v>30</v>
      </c>
      <c r="C9" s="157" t="s">
        <v>153</v>
      </c>
      <c r="D9" s="165"/>
      <c r="E9" s="162"/>
      <c r="F9" s="168"/>
    </row>
    <row r="10" spans="1:6" ht="90" customHeight="1" thickBot="1">
      <c r="A10" s="159" t="s">
        <v>35</v>
      </c>
      <c r="B10" s="192" t="s">
        <v>147</v>
      </c>
      <c r="C10" s="160" t="s">
        <v>151</v>
      </c>
      <c r="D10" s="166"/>
      <c r="E10" s="163"/>
      <c r="F10" s="169"/>
    </row>
    <row r="11" spans="1:6" ht="31.5" customHeight="1" thickTop="1" thickBot="1">
      <c r="A11" s="13" t="s">
        <v>4</v>
      </c>
      <c r="B11" s="14" t="s">
        <v>152</v>
      </c>
      <c r="C11" s="15"/>
      <c r="D11" s="14">
        <f>IF(SUM(D6:D10)&lt;=50,SUM(D6:D10),"max. 50 Punkte")</f>
        <v>0</v>
      </c>
      <c r="E11" s="27"/>
      <c r="F11" s="93">
        <f>IF(SUM(F6:F10)&lt;=50,SUM(F6:F10),"max. 50 Punkte")</f>
        <v>0</v>
      </c>
    </row>
    <row r="12" spans="1:6" ht="27" customHeight="1" thickTop="1" thickBot="1">
      <c r="A12" s="236" t="s">
        <v>162</v>
      </c>
      <c r="B12" s="236"/>
      <c r="C12" s="236"/>
      <c r="D12" s="236"/>
      <c r="E12" s="236"/>
      <c r="F12" s="236"/>
    </row>
    <row r="13" spans="1:6" ht="31.5" customHeight="1" thickBot="1">
      <c r="A13" s="150" t="s">
        <v>23</v>
      </c>
      <c r="B13" s="29" t="s">
        <v>24</v>
      </c>
      <c r="C13" s="30" t="s">
        <v>25</v>
      </c>
      <c r="D13" s="29" t="s">
        <v>36</v>
      </c>
      <c r="E13" s="32" t="s">
        <v>27</v>
      </c>
      <c r="F13" s="92" t="s">
        <v>28</v>
      </c>
    </row>
    <row r="14" spans="1:6" ht="15" thickTop="1" thickBot="1">
      <c r="A14" s="242" t="s">
        <v>37</v>
      </c>
      <c r="B14" s="243"/>
      <c r="C14" s="243"/>
      <c r="D14" s="243"/>
      <c r="E14" s="243"/>
      <c r="F14" s="244"/>
    </row>
    <row r="15" spans="1:6" ht="75" customHeight="1">
      <c r="A15" s="170" t="s">
        <v>29</v>
      </c>
      <c r="B15" s="171" t="s">
        <v>38</v>
      </c>
      <c r="C15" s="172" t="s">
        <v>154</v>
      </c>
      <c r="D15" s="173"/>
      <c r="E15" s="210"/>
      <c r="F15" s="174"/>
    </row>
    <row r="16" spans="1:6" ht="125.1" customHeight="1">
      <c r="A16" s="155" t="s">
        <v>31</v>
      </c>
      <c r="B16" s="158" t="s">
        <v>38</v>
      </c>
      <c r="C16" s="157" t="s">
        <v>157</v>
      </c>
      <c r="D16" s="165"/>
      <c r="E16" s="175"/>
      <c r="F16" s="168"/>
    </row>
    <row r="17" spans="1:6" ht="90" customHeight="1">
      <c r="A17" s="155" t="s">
        <v>39</v>
      </c>
      <c r="B17" s="158" t="s">
        <v>40</v>
      </c>
      <c r="C17" s="157" t="s">
        <v>160</v>
      </c>
      <c r="D17" s="165"/>
      <c r="E17" s="175"/>
      <c r="F17" s="168"/>
    </row>
    <row r="18" spans="1:6" ht="90" customHeight="1">
      <c r="A18" s="155" t="s">
        <v>33</v>
      </c>
      <c r="B18" s="158" t="s">
        <v>30</v>
      </c>
      <c r="C18" s="157" t="s">
        <v>156</v>
      </c>
      <c r="D18" s="165"/>
      <c r="E18" s="175"/>
      <c r="F18" s="168"/>
    </row>
    <row r="19" spans="1:6" ht="90" customHeight="1">
      <c r="A19" s="155" t="s">
        <v>34</v>
      </c>
      <c r="B19" s="158" t="s">
        <v>38</v>
      </c>
      <c r="C19" s="157" t="s">
        <v>155</v>
      </c>
      <c r="D19" s="165"/>
      <c r="E19" s="175"/>
      <c r="F19" s="168"/>
    </row>
    <row r="20" spans="1:6">
      <c r="A20" s="245" t="s">
        <v>41</v>
      </c>
      <c r="B20" s="246"/>
      <c r="C20" s="246"/>
      <c r="D20" s="247"/>
      <c r="E20" s="248"/>
      <c r="F20" s="249"/>
    </row>
    <row r="21" spans="1:6" ht="125.1" customHeight="1">
      <c r="A21" s="155" t="s">
        <v>35</v>
      </c>
      <c r="B21" s="158" t="s">
        <v>30</v>
      </c>
      <c r="C21" s="157" t="s">
        <v>126</v>
      </c>
      <c r="D21" s="165"/>
      <c r="E21" s="175"/>
      <c r="F21" s="168"/>
    </row>
    <row r="22" spans="1:6" ht="90" customHeight="1">
      <c r="A22" s="155" t="s">
        <v>42</v>
      </c>
      <c r="B22" s="158" t="s">
        <v>40</v>
      </c>
      <c r="C22" s="157" t="s">
        <v>127</v>
      </c>
      <c r="D22" s="165"/>
      <c r="E22" s="175"/>
      <c r="F22" s="168"/>
    </row>
    <row r="23" spans="1:6" ht="90" customHeight="1" thickBot="1">
      <c r="A23" s="159" t="s">
        <v>43</v>
      </c>
      <c r="B23" s="181" t="s">
        <v>38</v>
      </c>
      <c r="C23" s="160" t="s">
        <v>158</v>
      </c>
      <c r="D23" s="166"/>
      <c r="E23" s="182"/>
      <c r="F23" s="169"/>
    </row>
    <row r="24" spans="1:6" ht="31.5" customHeight="1" thickTop="1" thickBot="1">
      <c r="A24" s="23" t="s">
        <v>113</v>
      </c>
      <c r="B24" s="26" t="s">
        <v>159</v>
      </c>
      <c r="C24" s="14"/>
      <c r="D24" s="14">
        <f>IF(SUM(D15:D23)&lt;=40,SUM(D15:D23),"max. 40 Punkte")</f>
        <v>0</v>
      </c>
      <c r="E24" s="14"/>
      <c r="F24" s="93">
        <f>IF(SUM(F15:F23)&lt;=40,SUM(F15:F23),"max. 40 Punkte")</f>
        <v>0</v>
      </c>
    </row>
    <row r="25" spans="1:6" ht="31.5" customHeight="1" thickTop="1" thickBot="1">
      <c r="A25" s="23" t="s">
        <v>114</v>
      </c>
      <c r="B25" s="18">
        <v>80</v>
      </c>
      <c r="C25" s="18"/>
      <c r="D25" s="19">
        <f>IF(SUM(D24,D11)&lt;=80,SUM(D24,D11),"max. 80 Punkte")</f>
        <v>0</v>
      </c>
      <c r="E25" s="14"/>
      <c r="F25" s="93">
        <f>IF(SUM(F24,F11)&lt;=80,SUM(F24,F11),"max. 80 Punkte")</f>
        <v>0</v>
      </c>
    </row>
    <row r="26" spans="1:6" ht="27" customHeight="1" thickTop="1" thickBot="1">
      <c r="A26" s="236" t="s">
        <v>44</v>
      </c>
      <c r="B26" s="236"/>
      <c r="C26" s="236"/>
      <c r="D26" s="236"/>
      <c r="E26" s="236"/>
      <c r="F26" s="236"/>
    </row>
    <row r="27" spans="1:6" ht="30.75" customHeight="1" thickBot="1">
      <c r="A27" s="150" t="s">
        <v>23</v>
      </c>
      <c r="B27" s="260" t="s">
        <v>25</v>
      </c>
      <c r="C27" s="261"/>
      <c r="D27" s="29" t="s">
        <v>24</v>
      </c>
      <c r="E27" s="32" t="s">
        <v>27</v>
      </c>
      <c r="F27" s="94" t="s">
        <v>28</v>
      </c>
    </row>
    <row r="28" spans="1:6" ht="60" customHeight="1" thickTop="1">
      <c r="A28" s="176" t="s">
        <v>45</v>
      </c>
      <c r="B28" s="262" t="s">
        <v>122</v>
      </c>
      <c r="C28" s="263"/>
      <c r="D28" s="177">
        <v>4</v>
      </c>
      <c r="E28" s="178"/>
      <c r="F28" s="167"/>
    </row>
    <row r="29" spans="1:6" ht="122.1" customHeight="1">
      <c r="A29" s="179" t="s">
        <v>46</v>
      </c>
      <c r="B29" s="264" t="s">
        <v>123</v>
      </c>
      <c r="C29" s="265"/>
      <c r="D29" s="180">
        <v>4</v>
      </c>
      <c r="E29" s="175"/>
      <c r="F29" s="168"/>
    </row>
    <row r="30" spans="1:6" ht="145.19999999999999" customHeight="1">
      <c r="A30" s="179" t="s">
        <v>47</v>
      </c>
      <c r="B30" s="264" t="s">
        <v>124</v>
      </c>
      <c r="C30" s="265"/>
      <c r="D30" s="180">
        <v>4</v>
      </c>
      <c r="E30" s="175"/>
      <c r="F30" s="168"/>
    </row>
    <row r="31" spans="1:6" ht="45" customHeight="1">
      <c r="A31" s="179" t="s">
        <v>48</v>
      </c>
      <c r="B31" s="264" t="s">
        <v>125</v>
      </c>
      <c r="C31" s="265"/>
      <c r="D31" s="180">
        <v>4</v>
      </c>
      <c r="E31" s="175"/>
      <c r="F31" s="168"/>
    </row>
    <row r="32" spans="1:6" ht="88.2" customHeight="1" thickBot="1">
      <c r="A32" s="183" t="s">
        <v>54</v>
      </c>
      <c r="B32" s="266" t="s">
        <v>128</v>
      </c>
      <c r="C32" s="267"/>
      <c r="D32" s="184">
        <v>4</v>
      </c>
      <c r="E32" s="182"/>
      <c r="F32" s="169"/>
    </row>
    <row r="33" spans="1:6" ht="31.5" customHeight="1" thickTop="1" thickBot="1">
      <c r="A33" s="17" t="s">
        <v>5</v>
      </c>
      <c r="B33" s="18">
        <v>20</v>
      </c>
      <c r="C33" s="18"/>
      <c r="D33" s="18">
        <f>IF(SUM(D28:D32)&lt;=20,SUM(D28:D32),"max. 20 Punkte")</f>
        <v>20</v>
      </c>
      <c r="E33" s="19"/>
      <c r="F33" s="93">
        <f>IF(SUM(F28:F32)&lt;=20,SUM(F28:F32),"max. 20 Punkte")</f>
        <v>0</v>
      </c>
    </row>
    <row r="34" spans="1:6" ht="42.6" thickTop="1" thickBot="1">
      <c r="A34" s="17" t="s">
        <v>115</v>
      </c>
      <c r="B34" s="18">
        <v>100</v>
      </c>
      <c r="C34" s="18"/>
      <c r="D34" s="18">
        <f>IF(SUM(D33,D25)&lt;=100,SUM(D33,D25),"max. 100 Punkte")</f>
        <v>20</v>
      </c>
      <c r="E34" s="19"/>
      <c r="F34" s="93">
        <f>IF(SUM(F33,F25)&lt;=100,SUM(F33,F25),"max. 100 Punkte")</f>
        <v>0</v>
      </c>
    </row>
    <row r="35" spans="1:6" ht="15" thickTop="1" thickBot="1">
      <c r="A35" s="1"/>
      <c r="B35" s="250"/>
      <c r="C35" s="250"/>
      <c r="D35" s="250"/>
    </row>
    <row r="36" spans="1:6" ht="27" customHeight="1" thickTop="1">
      <c r="A36" s="20" t="s">
        <v>14</v>
      </c>
      <c r="B36" s="280"/>
      <c r="C36" s="252"/>
      <c r="D36" s="253"/>
      <c r="E36" s="86" t="s">
        <v>14</v>
      </c>
      <c r="F36" s="96"/>
    </row>
    <row r="37" spans="1:6" ht="27" customHeight="1">
      <c r="A37" s="254" t="s">
        <v>49</v>
      </c>
      <c r="B37" s="255"/>
      <c r="C37" s="255"/>
      <c r="D37" s="256"/>
      <c r="E37" s="87" t="s">
        <v>50</v>
      </c>
      <c r="F37" s="97" t="s">
        <v>16</v>
      </c>
    </row>
    <row r="38" spans="1:6" ht="15" customHeight="1">
      <c r="A38" s="257"/>
      <c r="B38" s="258"/>
      <c r="C38" s="258"/>
      <c r="D38" s="259"/>
      <c r="E38" s="269"/>
      <c r="F38" s="270"/>
    </row>
    <row r="39" spans="1:6" ht="15" customHeight="1">
      <c r="A39" s="257"/>
      <c r="B39" s="258"/>
      <c r="C39" s="258"/>
      <c r="D39" s="259"/>
      <c r="E39" s="271"/>
      <c r="F39" s="272"/>
    </row>
    <row r="40" spans="1:6" ht="15.75" customHeight="1">
      <c r="A40" s="257"/>
      <c r="B40" s="258"/>
      <c r="C40" s="258"/>
      <c r="D40" s="259"/>
      <c r="E40" s="273"/>
      <c r="F40" s="274"/>
    </row>
    <row r="41" spans="1:6" ht="27" customHeight="1">
      <c r="A41" s="254" t="s">
        <v>15</v>
      </c>
      <c r="B41" s="255"/>
      <c r="C41" s="255"/>
      <c r="D41" s="256"/>
      <c r="E41" s="88" t="s">
        <v>51</v>
      </c>
      <c r="F41" s="98" t="s">
        <v>16</v>
      </c>
    </row>
    <row r="42" spans="1:6" ht="15" customHeight="1">
      <c r="A42" s="257"/>
      <c r="B42" s="258"/>
      <c r="C42" s="258"/>
      <c r="D42" s="259"/>
      <c r="E42" s="269"/>
      <c r="F42" s="270"/>
    </row>
    <row r="43" spans="1:6" ht="15" customHeight="1">
      <c r="A43" s="257"/>
      <c r="B43" s="258"/>
      <c r="C43" s="258"/>
      <c r="D43" s="259"/>
      <c r="E43" s="271"/>
      <c r="F43" s="272"/>
    </row>
    <row r="44" spans="1:6" ht="15" customHeight="1" thickBot="1">
      <c r="A44" s="277"/>
      <c r="B44" s="278"/>
      <c r="C44" s="278"/>
      <c r="D44" s="279"/>
      <c r="E44" s="275"/>
      <c r="F44" s="276"/>
    </row>
    <row r="45" spans="1:6" ht="15.6" thickTop="1">
      <c r="A45" s="8"/>
      <c r="B45" s="9"/>
      <c r="C45" s="8"/>
      <c r="D45" s="8"/>
    </row>
    <row r="46" spans="1:6">
      <c r="A46" s="3" t="s">
        <v>76</v>
      </c>
    </row>
    <row r="47" spans="1:6" ht="14.1" customHeight="1">
      <c r="A47" s="4" t="s">
        <v>52</v>
      </c>
    </row>
    <row r="48" spans="1:6" ht="40.5" customHeight="1">
      <c r="A48" s="268" t="s">
        <v>142</v>
      </c>
      <c r="B48" s="268"/>
      <c r="C48" s="268"/>
      <c r="D48" s="268"/>
    </row>
    <row r="49" spans="1:6" s="10" customFormat="1" ht="12" customHeight="1">
      <c r="A49" s="7"/>
      <c r="C49" s="7"/>
      <c r="D49" s="7"/>
      <c r="E49" s="24"/>
      <c r="F49" s="90"/>
    </row>
    <row r="50" spans="1:6">
      <c r="A50" s="4" t="s">
        <v>53</v>
      </c>
    </row>
    <row r="51" spans="1:6" ht="15" customHeight="1"/>
    <row r="52" spans="1:6">
      <c r="A52" s="3" t="s">
        <v>77</v>
      </c>
    </row>
    <row r="53" spans="1:6">
      <c r="A53" s="4" t="s">
        <v>143</v>
      </c>
    </row>
    <row r="54" spans="1:6" ht="40.5" customHeight="1">
      <c r="A54" s="268" t="s">
        <v>79</v>
      </c>
      <c r="B54" s="268"/>
      <c r="C54" s="268"/>
      <c r="D54" s="268"/>
    </row>
    <row r="55" spans="1:6" ht="12" customHeight="1"/>
    <row r="56" spans="1:6">
      <c r="A56" s="4" t="s">
        <v>80</v>
      </c>
    </row>
  </sheetData>
  <sheetProtection sheet="1" objects="1" scenarios="1"/>
  <mergeCells count="28">
    <mergeCell ref="A54:D54"/>
    <mergeCell ref="E38:F40"/>
    <mergeCell ref="E42:F44"/>
    <mergeCell ref="A48:D48"/>
    <mergeCell ref="A12:D12"/>
    <mergeCell ref="E12:F12"/>
    <mergeCell ref="B32:C32"/>
    <mergeCell ref="A14:D14"/>
    <mergeCell ref="E14:F14"/>
    <mergeCell ref="A20:D20"/>
    <mergeCell ref="E20:F20"/>
    <mergeCell ref="A26:D26"/>
    <mergeCell ref="E26:F26"/>
    <mergeCell ref="B27:C27"/>
    <mergeCell ref="B28:C28"/>
    <mergeCell ref="B29:C29"/>
    <mergeCell ref="B30:C30"/>
    <mergeCell ref="A1:B1"/>
    <mergeCell ref="A4:D4"/>
    <mergeCell ref="E4:F4"/>
    <mergeCell ref="C3:F3"/>
    <mergeCell ref="A41:D41"/>
    <mergeCell ref="A42:D44"/>
    <mergeCell ref="B31:C31"/>
    <mergeCell ref="B35:D35"/>
    <mergeCell ref="B36:D36"/>
    <mergeCell ref="A37:D37"/>
    <mergeCell ref="A38:D40"/>
  </mergeCells>
  <dataValidations count="15">
    <dataValidation type="decimal" operator="lessThanOrEqual" allowBlank="1" showInputMessage="1" showErrorMessage="1" errorTitle="maximal 60 Punkte zulässig" sqref="D11" xr:uid="{8AD50C8D-0AD5-465E-8EDE-91E9E4992166}">
      <formula1>60</formula1>
    </dataValidation>
    <dataValidation type="whole" allowBlank="1" showInputMessage="1" showErrorMessage="1" errorTitle="Achtung" error="Nur zwischen 5-10 Punkte sind zulässig." sqref="D9 D6 D18 D21" xr:uid="{223D4F86-286C-48A0-8E59-15A2F69C1C4F}">
      <formula1>5</formula1>
      <formula2>10</formula2>
    </dataValidation>
    <dataValidation type="whole" allowBlank="1" showInputMessage="1" showErrorMessage="1" errorTitle="Achtung" error="Nur zwischen 5-15 Punkte sind zulässig." sqref="D7" xr:uid="{C2F3EEE2-EEFC-481A-B1CC-1B68768DFB76}">
      <formula1>5</formula1>
      <formula2>15</formula2>
    </dataValidation>
    <dataValidation type="whole" allowBlank="1" showInputMessage="1" showErrorMessage="1" errorTitle="Achtung" error="Nur zwischen 1-5 Punkte sind zulässig." sqref="D15:D16 D19 D23" xr:uid="{79896256-21BA-4030-8E92-ABF5CF1191A6}">
      <formula1>1</formula1>
      <formula2>5</formula2>
    </dataValidation>
    <dataValidation type="whole" allowBlank="1" showInputMessage="1" showErrorMessage="1" errorTitle="Achtung" error="Nur zwischen 4-8 Punkte sind zulässig." sqref="D17 D22" xr:uid="{75A141FF-F1EA-45D7-BB25-62468F357D56}">
      <formula1>4</formula1>
      <formula2>8</formula2>
    </dataValidation>
    <dataValidation type="decimal" operator="lessThanOrEqual" allowBlank="1" showInputMessage="1" showErrorMessage="1" errorTitle="Achtung" error="Maximal 10 Punkte sind ereichbar." sqref="F6 F9 F18 F21" xr:uid="{E7858784-F90C-4122-BEC0-0231AD8CDD44}">
      <formula1>10</formula1>
    </dataValidation>
    <dataValidation type="decimal" operator="lessThanOrEqual" allowBlank="1" showInputMessage="1" showErrorMessage="1" errorTitle="Achtung" error="Maximal 15 Punkte sind ereichbar." sqref="F7" xr:uid="{56A6808A-4640-4DC0-BDE9-C4A187E2FB2B}">
      <formula1>15</formula1>
    </dataValidation>
    <dataValidation type="decimal" operator="lessThanOrEqual" allowBlank="1" showInputMessage="1" showErrorMessage="1" errorTitle="Achtung" error="Maximal 8 Punkte sind ereichbar." sqref="F17 F22" xr:uid="{B248172F-B5DE-4B67-A7DB-60BB8B830C7B}">
      <formula1>8</formula1>
    </dataValidation>
    <dataValidation type="decimal" operator="lessThanOrEqual" allowBlank="1" showInputMessage="1" showErrorMessage="1" errorTitle="Achtung" error="Maximal 5 Punkte sind ereichbar." sqref="F15:F16 F19 F23" xr:uid="{91D37EB8-29B4-48C7-8396-B84446C1AA37}">
      <formula1>5</formula1>
    </dataValidation>
    <dataValidation type="decimal" operator="lessThanOrEqual" allowBlank="1" showInputMessage="1" showErrorMessage="1" errorTitle="Achtung" error="Maximal 4 Punkte sind ereichbar." sqref="F28:F32" xr:uid="{83BBFCE4-5B7B-448F-934B-55E19CD4689E}">
      <formula1>4</formula1>
    </dataValidation>
    <dataValidation allowBlank="1" showInputMessage="1" showErrorMessage="1" sqref="D30:D31" xr:uid="{D78A5611-2132-4855-AF1D-9191275EE787}"/>
    <dataValidation type="decimal" operator="lessThanOrEqual" allowBlank="1" showInputMessage="1" showErrorMessage="1" errorTitle="Achtung" error="Maximal 15 Punkte sind ereichbar.." sqref="F10" xr:uid="{2D072128-A1D0-45E0-B51B-A4C72E9C6ADB}">
      <formula1>15</formula1>
    </dataValidation>
    <dataValidation type="decimal" operator="lessThanOrEqual" allowBlank="1" showInputMessage="1" showErrorMessage="1" errorTitle="Achtung" error="Maximal 20 Punkte sind ereichbar." sqref="F8" xr:uid="{EBA86DB2-D15A-4796-8A57-911559A7158F}">
      <formula1>20</formula1>
    </dataValidation>
    <dataValidation type="whole" allowBlank="1" showInputMessage="1" showErrorMessage="1" errorTitle="Achtung" error="Nur zwischen 10-15 Punkte sind zulässig." sqref="D10" xr:uid="{D2CD5408-0FF2-488B-B57B-DB767C1612D2}">
      <formula1>10</formula1>
      <formula2>15</formula2>
    </dataValidation>
    <dataValidation type="whole" allowBlank="1" showInputMessage="1" showErrorMessage="1" errorTitle="Achtung" error="Nur zwischen 10-20 Punkte sind zulässig." sqref="D8" xr:uid="{DF0E3035-7049-41DF-84BA-986723887488}">
      <formula1>10</formula1>
      <formula2>20</formula2>
    </dataValidation>
  </dataValidations>
  <pageMargins left="0.9055118110236221" right="0.51181102362204722" top="0.39370078740157483" bottom="0.39370078740157483" header="0.31496062992125984" footer="0.31496062992125984"/>
  <pageSetup paperSize="9" scale="87" fitToHeight="0" orientation="landscape" r:id="rId1"/>
  <headerFooter>
    <oddFooter>&amp;L&amp;9&amp;D&amp;R&amp;"Arial,Standard"&amp;9&amp;P/&amp;N</oddFooter>
  </headerFooter>
  <rowBreaks count="4" manualBreakCount="4">
    <brk id="11" max="16383" man="1"/>
    <brk id="19" max="16383" man="1"/>
    <brk id="25" max="16383" man="1"/>
    <brk id="33"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CAF5-1D7D-4E46-9C19-D712FE5FCCC8}">
  <sheetPr codeName="Tabelle5">
    <tabColor rgb="FF7030A0"/>
    <pageSetUpPr fitToPage="1"/>
  </sheetPr>
  <dimension ref="A1:E34"/>
  <sheetViews>
    <sheetView zoomScaleNormal="100" workbookViewId="0">
      <pane ySplit="1" topLeftCell="A2" activePane="bottomLeft" state="frozen"/>
      <selection activeCell="E45" sqref="A45:E45"/>
      <selection pane="bottomLeft" activeCell="D6" sqref="D6"/>
    </sheetView>
  </sheetViews>
  <sheetFormatPr baseColWidth="10" defaultColWidth="11.33203125" defaultRowHeight="13.8"/>
  <cols>
    <col min="1" max="1" width="21.6640625" style="7" customWidth="1"/>
    <col min="2" max="2" width="9" style="10" customWidth="1"/>
    <col min="3" max="3" width="57" style="7" customWidth="1"/>
    <col min="4" max="4" width="49.33203125" style="24" customWidth="1"/>
    <col min="5" max="5" width="11.33203125" style="90"/>
    <col min="6" max="16384" width="11.33203125" style="7"/>
  </cols>
  <sheetData>
    <row r="1" spans="1:5" ht="30" customHeight="1">
      <c r="A1" s="237" t="s">
        <v>112</v>
      </c>
      <c r="B1" s="281"/>
      <c r="C1" s="38" t="str">
        <f>Notenblatt!B1</f>
        <v>Jan Haag, G3c</v>
      </c>
    </row>
    <row r="2" spans="1:5" s="2" customFormat="1" ht="27" customHeight="1" thickBot="1">
      <c r="A2" s="21" t="s">
        <v>144</v>
      </c>
      <c r="B2" s="11"/>
      <c r="C2" s="12"/>
      <c r="D2" s="25"/>
      <c r="E2" s="91"/>
    </row>
    <row r="3" spans="1:5" ht="27.6" customHeight="1" thickBot="1">
      <c r="A3" s="129" t="str">
        <f>Notenblatt!A3</f>
        <v>Titel der Arbeit</v>
      </c>
      <c r="B3" s="129"/>
      <c r="C3" s="240" t="str">
        <f>IF(Projektvereinbarung!B10="","",Projektvereinbarung!B10)</f>
        <v>Programmierung und Optimierung eines Programmes für die Erkennung von handgeschriebenen Zahlen</v>
      </c>
      <c r="D3" s="240"/>
      <c r="E3" s="240"/>
    </row>
    <row r="4" spans="1:5" ht="27.6" customHeight="1" thickBot="1">
      <c r="A4" s="238" t="s">
        <v>55</v>
      </c>
      <c r="B4" s="238"/>
      <c r="C4" s="238"/>
      <c r="D4" s="238"/>
      <c r="E4" s="238"/>
    </row>
    <row r="5" spans="1:5" ht="28.2" thickBot="1">
      <c r="A5" s="28" t="s">
        <v>23</v>
      </c>
      <c r="B5" s="29" t="s">
        <v>56</v>
      </c>
      <c r="C5" s="30" t="s">
        <v>25</v>
      </c>
      <c r="D5" s="32" t="s">
        <v>27</v>
      </c>
      <c r="E5" s="92" t="s">
        <v>28</v>
      </c>
    </row>
    <row r="6" spans="1:5" ht="45" customHeight="1" thickTop="1">
      <c r="A6" s="152" t="s">
        <v>57</v>
      </c>
      <c r="B6" s="185">
        <v>3</v>
      </c>
      <c r="C6" s="154" t="s">
        <v>129</v>
      </c>
      <c r="D6" s="161"/>
      <c r="E6" s="167"/>
    </row>
    <row r="7" spans="1:5" ht="60" customHeight="1">
      <c r="A7" s="155" t="s">
        <v>58</v>
      </c>
      <c r="B7" s="186">
        <v>15</v>
      </c>
      <c r="C7" s="157" t="s">
        <v>130</v>
      </c>
      <c r="D7" s="162"/>
      <c r="E7" s="168"/>
    </row>
    <row r="8" spans="1:5" ht="60" customHeight="1">
      <c r="A8" s="155" t="s">
        <v>42</v>
      </c>
      <c r="B8" s="187">
        <v>10</v>
      </c>
      <c r="C8" s="157" t="s">
        <v>131</v>
      </c>
      <c r="D8" s="162"/>
      <c r="E8" s="168"/>
    </row>
    <row r="9" spans="1:5" ht="45" customHeight="1">
      <c r="A9" s="155" t="s">
        <v>59</v>
      </c>
      <c r="B9" s="186">
        <v>4</v>
      </c>
      <c r="C9" s="157" t="s">
        <v>132</v>
      </c>
      <c r="D9" s="162"/>
      <c r="E9" s="168"/>
    </row>
    <row r="10" spans="1:5" ht="60" customHeight="1" thickBot="1">
      <c r="A10" s="159" t="s">
        <v>60</v>
      </c>
      <c r="B10" s="188">
        <v>8</v>
      </c>
      <c r="C10" s="160" t="s">
        <v>133</v>
      </c>
      <c r="D10" s="163"/>
      <c r="E10" s="169"/>
    </row>
    <row r="11" spans="1:5" ht="32.25" customHeight="1" thickTop="1" thickBot="1">
      <c r="A11" s="13" t="s">
        <v>9</v>
      </c>
      <c r="B11" s="14">
        <v>40</v>
      </c>
      <c r="C11" s="15"/>
      <c r="D11" s="27"/>
      <c r="E11" s="93">
        <f>IF(SUM(E6:E10)&lt;=40,SUM(E6:E10),"max. 40 Punkte")</f>
        <v>0</v>
      </c>
    </row>
    <row r="12" spans="1:5" ht="10.5" customHeight="1" thickTop="1" thickBot="1">
      <c r="A12" s="1"/>
      <c r="B12" s="250"/>
      <c r="C12" s="250"/>
    </row>
    <row r="13" spans="1:5" ht="27" customHeight="1" thickTop="1">
      <c r="A13" s="20" t="s">
        <v>14</v>
      </c>
      <c r="B13" s="280"/>
      <c r="C13" s="253"/>
    </row>
    <row r="14" spans="1:5" ht="27" customHeight="1">
      <c r="A14" s="254" t="s">
        <v>49</v>
      </c>
      <c r="B14" s="255"/>
      <c r="C14" s="256"/>
    </row>
    <row r="15" spans="1:5" ht="15" customHeight="1">
      <c r="A15" s="257"/>
      <c r="B15" s="258"/>
      <c r="C15" s="259"/>
    </row>
    <row r="16" spans="1:5" ht="15" customHeight="1">
      <c r="A16" s="257"/>
      <c r="B16" s="258"/>
      <c r="C16" s="259"/>
    </row>
    <row r="17" spans="1:5" ht="15.75" customHeight="1">
      <c r="A17" s="257"/>
      <c r="B17" s="258"/>
      <c r="C17" s="259"/>
    </row>
    <row r="18" spans="1:5" ht="27" customHeight="1">
      <c r="A18" s="254" t="s">
        <v>15</v>
      </c>
      <c r="B18" s="255"/>
      <c r="C18" s="256"/>
    </row>
    <row r="19" spans="1:5" ht="15" customHeight="1">
      <c r="A19" s="257"/>
      <c r="B19" s="258"/>
      <c r="C19" s="259"/>
    </row>
    <row r="20" spans="1:5" ht="15" customHeight="1">
      <c r="A20" s="257"/>
      <c r="B20" s="258"/>
      <c r="C20" s="259"/>
    </row>
    <row r="21" spans="1:5" ht="15" customHeight="1" thickBot="1">
      <c r="A21" s="277"/>
      <c r="B21" s="278"/>
      <c r="C21" s="279"/>
    </row>
    <row r="22" spans="1:5" s="24" customFormat="1" ht="15" customHeight="1" thickTop="1">
      <c r="A22" s="8"/>
      <c r="B22" s="9"/>
      <c r="C22" s="8"/>
      <c r="E22" s="90"/>
    </row>
    <row r="23" spans="1:5" s="24" customFormat="1" ht="15" customHeight="1">
      <c r="A23" s="8"/>
      <c r="B23" s="9"/>
      <c r="C23" s="8"/>
      <c r="E23" s="90"/>
    </row>
    <row r="24" spans="1:5" s="24" customFormat="1">
      <c r="A24" s="3" t="s">
        <v>76</v>
      </c>
      <c r="B24" s="10"/>
      <c r="C24" s="7"/>
      <c r="D24" s="7"/>
      <c r="E24" s="90"/>
    </row>
    <row r="25" spans="1:5" s="24" customFormat="1">
      <c r="A25" s="4" t="s">
        <v>52</v>
      </c>
      <c r="B25" s="10"/>
      <c r="C25" s="7"/>
      <c r="D25" s="7"/>
      <c r="E25" s="90"/>
    </row>
    <row r="26" spans="1:5" s="24" customFormat="1" ht="40.5" customHeight="1">
      <c r="A26" s="268" t="s">
        <v>142</v>
      </c>
      <c r="B26" s="268"/>
      <c r="C26" s="268"/>
      <c r="D26" s="151"/>
      <c r="E26" s="90"/>
    </row>
    <row r="27" spans="1:5" s="24" customFormat="1" ht="12" customHeight="1">
      <c r="A27" s="7"/>
      <c r="B27" s="10"/>
      <c r="C27" s="7"/>
      <c r="D27" s="7"/>
      <c r="E27" s="90"/>
    </row>
    <row r="28" spans="1:5" s="24" customFormat="1">
      <c r="A28" s="4" t="s">
        <v>53</v>
      </c>
      <c r="B28" s="10"/>
      <c r="C28" s="7"/>
      <c r="D28" s="7"/>
      <c r="E28" s="90"/>
    </row>
    <row r="29" spans="1:5" ht="15" customHeight="1">
      <c r="D29" s="7"/>
    </row>
    <row r="30" spans="1:5">
      <c r="A30" s="3" t="s">
        <v>77</v>
      </c>
      <c r="D30" s="7"/>
    </row>
    <row r="31" spans="1:5">
      <c r="A31" s="4" t="s">
        <v>143</v>
      </c>
      <c r="D31" s="7"/>
    </row>
    <row r="32" spans="1:5" ht="40.5" customHeight="1">
      <c r="A32" s="268" t="s">
        <v>79</v>
      </c>
      <c r="B32" s="268"/>
      <c r="C32" s="268"/>
      <c r="D32" s="151"/>
    </row>
    <row r="33" spans="1:4" ht="12" customHeight="1">
      <c r="D33" s="7"/>
    </row>
    <row r="34" spans="1:4">
      <c r="A34" s="4" t="s">
        <v>80</v>
      </c>
      <c r="D34" s="7"/>
    </row>
  </sheetData>
  <sheetProtection sheet="1" objects="1" scenarios="1"/>
  <mergeCells count="12">
    <mergeCell ref="A26:C26"/>
    <mergeCell ref="A32:C32"/>
    <mergeCell ref="A1:B1"/>
    <mergeCell ref="A4:C4"/>
    <mergeCell ref="D4:E4"/>
    <mergeCell ref="A19:C21"/>
    <mergeCell ref="B12:C12"/>
    <mergeCell ref="B13:C13"/>
    <mergeCell ref="A14:C14"/>
    <mergeCell ref="A15:C17"/>
    <mergeCell ref="A18:C18"/>
    <mergeCell ref="C3:E3"/>
  </mergeCells>
  <dataValidations count="6">
    <dataValidation type="decimal" operator="lessThanOrEqual" allowBlank="1" showInputMessage="1" showErrorMessage="1" errorTitle="Achtung" error="Maximal 4 Punkte sind ereichbar." sqref="E9" xr:uid="{4A2D27BE-2009-415E-9BF6-91AAB60D880F}">
      <formula1>4</formula1>
    </dataValidation>
    <dataValidation type="decimal" operator="lessThanOrEqual" allowBlank="1" showInputMessage="1" showErrorMessage="1" errorTitle="maximal 60 Punkte zulässig" sqref="E11" xr:uid="{37070A6D-AA29-4A40-A1EF-33EC065F0A3F}">
      <formula1>60</formula1>
    </dataValidation>
    <dataValidation type="decimal" operator="lessThanOrEqual" allowBlank="1" showInputMessage="1" showErrorMessage="1" errorTitle="Achtung" error="Maximal 10 Punkte sind ereichbar." sqref="E8" xr:uid="{4E6CFE19-2E2F-4276-9ED5-061EE9ED797F}">
      <formula1>10</formula1>
    </dataValidation>
    <dataValidation type="decimal" operator="lessThanOrEqual" allowBlank="1" showInputMessage="1" showErrorMessage="1" errorTitle="Achtung" error="Maximal 3 Punkte sind ereichbar." sqref="E6" xr:uid="{9527E568-27D4-4D24-849B-B7352220648F}">
      <formula1>3</formula1>
    </dataValidation>
    <dataValidation type="decimal" operator="lessThanOrEqual" allowBlank="1" showInputMessage="1" showErrorMessage="1" errorTitle="Achtung" error="Maximal 15 Punkte sind ereichbar." sqref="E7" xr:uid="{ACCEC4F4-F504-4A74-A903-2E2F9C78655F}">
      <formula1>15</formula1>
    </dataValidation>
    <dataValidation type="decimal" operator="lessThanOrEqual" allowBlank="1" showInputMessage="1" showErrorMessage="1" errorTitle="Achtung" error="Maximal 8 Punkte sind ereichbar." sqref="E10" xr:uid="{E547B7BE-7259-47AB-BDEB-41C169D82951}">
      <formula1>8</formula1>
    </dataValidation>
  </dataValidations>
  <pageMargins left="0.70866141732283472" right="0.70866141732283472" top="0.39370078740157483" bottom="0.31496062992125984" header="0.31496062992125984" footer="0.31496062992125984"/>
  <pageSetup paperSize="9" scale="82" fitToHeight="0" orientation="landscape" r:id="rId1"/>
  <headerFooter>
    <oddFooter>&amp;C&amp;9&amp;D&amp;R&amp;"Arial,Standard"&amp;9&amp;P/&amp;N</oddFooter>
  </headerFooter>
  <rowBreaks count="1" manualBreakCount="1">
    <brk id="22"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4E0E1-E3F6-4879-A72D-E37B1BFE9855}">
  <sheetPr codeName="Tabelle6">
    <tabColor theme="7" tint="0.39997558519241921"/>
    <pageSetUpPr fitToPage="1"/>
  </sheetPr>
  <dimension ref="A1:E44"/>
  <sheetViews>
    <sheetView zoomScaleNormal="100" workbookViewId="0">
      <pane ySplit="1" topLeftCell="A15" activePane="bottomLeft" state="frozen"/>
      <selection activeCell="A45" sqref="A45:E45"/>
      <selection pane="bottomLeft" activeCell="D6" sqref="D6"/>
    </sheetView>
  </sheetViews>
  <sheetFormatPr baseColWidth="10" defaultColWidth="11.33203125" defaultRowHeight="13.8"/>
  <cols>
    <col min="1" max="1" width="21.6640625" style="7" customWidth="1"/>
    <col min="2" max="2" width="9" style="10" customWidth="1"/>
    <col min="3" max="3" width="57" style="7" customWidth="1"/>
    <col min="4" max="4" width="49.33203125" style="24" customWidth="1"/>
    <col min="5" max="5" width="11.33203125" style="90"/>
    <col min="6" max="16384" width="11.33203125" style="7"/>
  </cols>
  <sheetData>
    <row r="1" spans="1:5" ht="30" customHeight="1">
      <c r="A1" s="237" t="s">
        <v>112</v>
      </c>
      <c r="B1" s="281"/>
      <c r="C1" s="38" t="str">
        <f>Notenblatt!B1</f>
        <v>Jan Haag, G3c</v>
      </c>
    </row>
    <row r="2" spans="1:5" s="2" customFormat="1" ht="27" customHeight="1" thickBot="1">
      <c r="A2" s="21" t="s">
        <v>144</v>
      </c>
      <c r="B2" s="11"/>
      <c r="C2" s="12"/>
      <c r="D2" s="25"/>
      <c r="E2" s="91"/>
    </row>
    <row r="3" spans="1:5" ht="27.6" customHeight="1" thickBot="1">
      <c r="A3" s="129" t="str">
        <f>Notenblatt!A3</f>
        <v>Titel der Arbeit</v>
      </c>
      <c r="B3" s="129"/>
      <c r="C3" s="240" t="str">
        <f>IF(Projektvereinbarung!B10="","",Projektvereinbarung!B10)</f>
        <v>Programmierung und Optimierung eines Programmes für die Erkennung von handgeschriebenen Zahlen</v>
      </c>
      <c r="D3" s="240"/>
      <c r="E3" s="240"/>
    </row>
    <row r="4" spans="1:5" ht="27.6" customHeight="1" thickBot="1">
      <c r="A4" s="238" t="s">
        <v>55</v>
      </c>
      <c r="B4" s="238"/>
      <c r="C4" s="238"/>
      <c r="D4" s="238"/>
      <c r="E4" s="238"/>
    </row>
    <row r="5" spans="1:5" ht="28.2" thickBot="1">
      <c r="A5" s="28" t="s">
        <v>23</v>
      </c>
      <c r="B5" s="29" t="s">
        <v>56</v>
      </c>
      <c r="C5" s="30" t="s">
        <v>25</v>
      </c>
      <c r="D5" s="32" t="s">
        <v>27</v>
      </c>
      <c r="E5" s="92" t="s">
        <v>28</v>
      </c>
    </row>
    <row r="6" spans="1:5" ht="45" customHeight="1" thickTop="1">
      <c r="A6" s="152" t="s">
        <v>57</v>
      </c>
      <c r="B6" s="185">
        <v>3</v>
      </c>
      <c r="C6" s="154" t="s">
        <v>129</v>
      </c>
      <c r="D6" s="161"/>
      <c r="E6" s="167"/>
    </row>
    <row r="7" spans="1:5" ht="60" customHeight="1">
      <c r="A7" s="155" t="s">
        <v>58</v>
      </c>
      <c r="B7" s="186">
        <v>15</v>
      </c>
      <c r="C7" s="157" t="s">
        <v>134</v>
      </c>
      <c r="D7" s="162"/>
      <c r="E7" s="168"/>
    </row>
    <row r="8" spans="1:5" ht="60" customHeight="1">
      <c r="A8" s="155" t="s">
        <v>42</v>
      </c>
      <c r="B8" s="187">
        <v>10</v>
      </c>
      <c r="C8" s="157" t="s">
        <v>131</v>
      </c>
      <c r="D8" s="162"/>
      <c r="E8" s="168"/>
    </row>
    <row r="9" spans="1:5" ht="45" customHeight="1">
      <c r="A9" s="155" t="s">
        <v>59</v>
      </c>
      <c r="B9" s="186">
        <v>4</v>
      </c>
      <c r="C9" s="157" t="s">
        <v>132</v>
      </c>
      <c r="D9" s="162"/>
      <c r="E9" s="168"/>
    </row>
    <row r="10" spans="1:5" ht="60" customHeight="1" thickBot="1">
      <c r="A10" s="159" t="s">
        <v>60</v>
      </c>
      <c r="B10" s="189">
        <v>8</v>
      </c>
      <c r="C10" s="160" t="s">
        <v>133</v>
      </c>
      <c r="D10" s="163"/>
      <c r="E10" s="169"/>
    </row>
    <row r="11" spans="1:5" ht="32.25" customHeight="1" thickTop="1" thickBot="1">
      <c r="A11" s="13" t="s">
        <v>9</v>
      </c>
      <c r="B11" s="14">
        <v>40</v>
      </c>
      <c r="C11" s="15"/>
      <c r="D11" s="27"/>
      <c r="E11" s="93">
        <f>IF(SUM(E6:E10)&lt;=40,SUM(E6:E10),"max. 40 Punkte")</f>
        <v>0</v>
      </c>
    </row>
    <row r="12" spans="1:5" ht="27.6" customHeight="1" thickTop="1" thickBot="1">
      <c r="A12" s="238" t="s">
        <v>61</v>
      </c>
      <c r="B12" s="238"/>
      <c r="C12" s="238"/>
      <c r="D12" s="238"/>
      <c r="E12" s="238"/>
    </row>
    <row r="13" spans="1:5" ht="28.2" thickBot="1">
      <c r="A13" s="28" t="s">
        <v>23</v>
      </c>
      <c r="B13" s="29" t="s">
        <v>56</v>
      </c>
      <c r="C13" s="30" t="s">
        <v>25</v>
      </c>
      <c r="D13" s="32" t="s">
        <v>27</v>
      </c>
      <c r="E13" s="92" t="s">
        <v>28</v>
      </c>
    </row>
    <row r="14" spans="1:5" ht="15.6" thickTop="1" thickBot="1">
      <c r="A14" s="282" t="s">
        <v>37</v>
      </c>
      <c r="B14" s="283"/>
      <c r="C14" s="283"/>
      <c r="D14" s="283"/>
      <c r="E14" s="283"/>
    </row>
    <row r="15" spans="1:5" ht="45" customHeight="1" thickTop="1">
      <c r="A15" s="152" t="s">
        <v>62</v>
      </c>
      <c r="B15" s="287">
        <v>10</v>
      </c>
      <c r="C15" s="154" t="s">
        <v>135</v>
      </c>
      <c r="D15" s="161"/>
      <c r="E15" s="292"/>
    </row>
    <row r="16" spans="1:5" ht="30" customHeight="1">
      <c r="A16" s="155" t="s">
        <v>63</v>
      </c>
      <c r="B16" s="288"/>
      <c r="C16" s="157" t="s">
        <v>136</v>
      </c>
      <c r="D16" s="162"/>
      <c r="E16" s="293"/>
    </row>
    <row r="17" spans="1:5" ht="30" customHeight="1">
      <c r="A17" s="155" t="s">
        <v>64</v>
      </c>
      <c r="B17" s="289"/>
      <c r="C17" s="157" t="s">
        <v>137</v>
      </c>
      <c r="D17" s="162"/>
      <c r="E17" s="294"/>
    </row>
    <row r="18" spans="1:5" ht="14.4">
      <c r="A18" s="284" t="s">
        <v>65</v>
      </c>
      <c r="B18" s="285"/>
      <c r="C18" s="285"/>
      <c r="D18" s="285"/>
      <c r="E18" s="286"/>
    </row>
    <row r="19" spans="1:5" ht="75" customHeight="1">
      <c r="A19" s="155" t="s">
        <v>66</v>
      </c>
      <c r="B19" s="290">
        <v>10</v>
      </c>
      <c r="C19" s="157" t="s">
        <v>138</v>
      </c>
      <c r="D19" s="162"/>
      <c r="E19" s="295"/>
    </row>
    <row r="20" spans="1:5" ht="30" customHeight="1">
      <c r="A20" s="190" t="s">
        <v>67</v>
      </c>
      <c r="B20" s="288"/>
      <c r="C20" s="191" t="s">
        <v>139</v>
      </c>
      <c r="D20" s="162"/>
      <c r="E20" s="293"/>
    </row>
    <row r="21" spans="1:5" ht="45" customHeight="1" thickBot="1">
      <c r="A21" s="159" t="s">
        <v>68</v>
      </c>
      <c r="B21" s="291"/>
      <c r="C21" s="160" t="s">
        <v>140</v>
      </c>
      <c r="D21" s="163"/>
      <c r="E21" s="296"/>
    </row>
    <row r="22" spans="1:5" ht="32.25" customHeight="1" thickTop="1" thickBot="1">
      <c r="A22" s="13" t="s">
        <v>10</v>
      </c>
      <c r="B22" s="14">
        <v>20</v>
      </c>
      <c r="C22" s="15"/>
      <c r="D22" s="27"/>
      <c r="E22" s="93">
        <f>IF(SUM(E15:E21)&lt;=20,SUM(E15:E21),"max. 20 Punkte")</f>
        <v>0</v>
      </c>
    </row>
    <row r="23" spans="1:5" ht="15" thickTop="1" thickBot="1">
      <c r="A23" s="35"/>
      <c r="B23" s="34"/>
      <c r="C23" s="35"/>
      <c r="D23" s="33"/>
      <c r="E23" s="99"/>
    </row>
    <row r="24" spans="1:5" ht="27" customHeight="1" thickTop="1">
      <c r="A24" s="20" t="s">
        <v>14</v>
      </c>
      <c r="B24" s="280"/>
      <c r="C24" s="253"/>
    </row>
    <row r="25" spans="1:5" ht="27" customHeight="1">
      <c r="A25" s="254" t="s">
        <v>49</v>
      </c>
      <c r="B25" s="255"/>
      <c r="C25" s="256"/>
    </row>
    <row r="26" spans="1:5" ht="15" customHeight="1">
      <c r="A26" s="257"/>
      <c r="B26" s="258"/>
      <c r="C26" s="259"/>
    </row>
    <row r="27" spans="1:5" ht="15" customHeight="1">
      <c r="A27" s="257"/>
      <c r="B27" s="258"/>
      <c r="C27" s="259"/>
    </row>
    <row r="28" spans="1:5" ht="15.75" customHeight="1">
      <c r="A28" s="257"/>
      <c r="B28" s="258"/>
      <c r="C28" s="259"/>
    </row>
    <row r="29" spans="1:5" ht="27" customHeight="1">
      <c r="A29" s="254" t="s">
        <v>15</v>
      </c>
      <c r="B29" s="255"/>
      <c r="C29" s="256"/>
    </row>
    <row r="30" spans="1:5" ht="15" customHeight="1">
      <c r="A30" s="257"/>
      <c r="B30" s="258"/>
      <c r="C30" s="259"/>
    </row>
    <row r="31" spans="1:5" ht="15" customHeight="1">
      <c r="A31" s="257"/>
      <c r="B31" s="258"/>
      <c r="C31" s="259"/>
    </row>
    <row r="32" spans="1:5" ht="15" customHeight="1" thickBot="1">
      <c r="A32" s="277"/>
      <c r="B32" s="278"/>
      <c r="C32" s="279"/>
    </row>
    <row r="33" spans="1:5" s="24" customFormat="1" ht="14.1" customHeight="1" thickTop="1">
      <c r="A33" s="8"/>
      <c r="B33" s="9"/>
      <c r="C33" s="8"/>
      <c r="E33" s="90"/>
    </row>
    <row r="34" spans="1:5" s="24" customFormat="1">
      <c r="A34" s="3" t="s">
        <v>76</v>
      </c>
      <c r="B34" s="10"/>
      <c r="C34" s="7"/>
      <c r="D34" s="7"/>
      <c r="E34" s="90"/>
    </row>
    <row r="35" spans="1:5" s="24" customFormat="1">
      <c r="A35" s="4" t="s">
        <v>52</v>
      </c>
      <c r="B35" s="10"/>
      <c r="C35" s="7"/>
      <c r="D35" s="7"/>
      <c r="E35" s="90"/>
    </row>
    <row r="36" spans="1:5" s="24" customFormat="1" ht="40.5" customHeight="1">
      <c r="A36" s="268" t="s">
        <v>142</v>
      </c>
      <c r="B36" s="268"/>
      <c r="C36" s="268"/>
      <c r="D36" s="151"/>
      <c r="E36" s="90"/>
    </row>
    <row r="37" spans="1:5" s="24" customFormat="1" ht="12" customHeight="1">
      <c r="A37" s="7"/>
      <c r="B37" s="10"/>
      <c r="C37" s="7"/>
      <c r="D37" s="7"/>
      <c r="E37" s="90"/>
    </row>
    <row r="38" spans="1:5" s="24" customFormat="1">
      <c r="A38" s="4" t="s">
        <v>53</v>
      </c>
      <c r="B38" s="10"/>
      <c r="C38" s="7"/>
      <c r="D38" s="7"/>
      <c r="E38" s="90"/>
    </row>
    <row r="39" spans="1:5" ht="15" customHeight="1">
      <c r="D39" s="7"/>
    </row>
    <row r="40" spans="1:5">
      <c r="A40" s="3" t="s">
        <v>77</v>
      </c>
      <c r="D40" s="7"/>
    </row>
    <row r="41" spans="1:5">
      <c r="A41" s="4" t="s">
        <v>78</v>
      </c>
      <c r="D41" s="7"/>
    </row>
    <row r="42" spans="1:5" ht="40.5" customHeight="1">
      <c r="A42" s="268" t="s">
        <v>79</v>
      </c>
      <c r="B42" s="268"/>
      <c r="C42" s="268"/>
      <c r="D42" s="151"/>
    </row>
    <row r="43" spans="1:5" ht="12" customHeight="1">
      <c r="D43" s="7"/>
    </row>
    <row r="44" spans="1:5">
      <c r="A44" s="4" t="s">
        <v>80</v>
      </c>
      <c r="D44" s="7"/>
    </row>
  </sheetData>
  <sheetProtection sheet="1" objects="1" scenarios="1"/>
  <mergeCells count="19">
    <mergeCell ref="A36:C36"/>
    <mergeCell ref="A42:C42"/>
    <mergeCell ref="A25:C25"/>
    <mergeCell ref="A26:C28"/>
    <mergeCell ref="A29:C29"/>
    <mergeCell ref="A30:C32"/>
    <mergeCell ref="A1:B1"/>
    <mergeCell ref="A4:C4"/>
    <mergeCell ref="D4:E4"/>
    <mergeCell ref="C3:E3"/>
    <mergeCell ref="B24:C24"/>
    <mergeCell ref="A12:C12"/>
    <mergeCell ref="D12:E12"/>
    <mergeCell ref="A14:E14"/>
    <mergeCell ref="A18:E18"/>
    <mergeCell ref="B15:B17"/>
    <mergeCell ref="B19:B21"/>
    <mergeCell ref="E15:E17"/>
    <mergeCell ref="E19:E21"/>
  </mergeCells>
  <dataValidations count="7">
    <dataValidation type="decimal" operator="lessThanOrEqual" allowBlank="1" showInputMessage="1" showErrorMessage="1" errorTitle="Achtung" error="Maximal 10 Punkte sind ereichbar." sqref="E15:E17 E8 E19:E21" xr:uid="{B64E9B14-E5B0-4CAE-951D-62C52FA0DBDD}">
      <formula1>10</formula1>
    </dataValidation>
    <dataValidation type="decimal" operator="lessThanOrEqual" allowBlank="1" showInputMessage="1" showErrorMessage="1" errorTitle="maximal 60 Punkte zulässig" sqref="E23" xr:uid="{07132E25-C0AD-4CDA-B48B-DA195797C21D}">
      <formula1>60</formula1>
    </dataValidation>
    <dataValidation type="decimal" operator="lessThanOrEqual" allowBlank="1" showInputMessage="1" showErrorMessage="1" errorTitle="Achtung" error="Maximal 4 Punkte sind ereichbar." sqref="E9" xr:uid="{6CDB30A4-7A08-4D36-B9B5-17A872DAE2F2}">
      <formula1>4</formula1>
    </dataValidation>
    <dataValidation type="decimal" operator="lessThanOrEqual" allowBlank="1" showInputMessage="1" showErrorMessage="1" errorTitle="Achtung" error="Maximal 15 Punkte sind ereichbar." sqref="E7" xr:uid="{655DB325-3445-8E46-8585-65E881CB4EC9}">
      <formula1>15</formula1>
    </dataValidation>
    <dataValidation type="decimal" operator="lessThanOrEqual" allowBlank="1" showInputMessage="1" showErrorMessage="1" errorTitle="Achtung" error="Maximal 8 Punkte sind ereichbar." sqref="E10" xr:uid="{9920675A-AC37-A042-9EFB-97BDC189CB20}">
      <formula1>8</formula1>
    </dataValidation>
    <dataValidation operator="lessThanOrEqual" allowBlank="1" showInputMessage="1" showErrorMessage="1" errorTitle="maximal 60 Punkte zulässig" sqref="E22" xr:uid="{924A6C28-4015-4D14-AD21-88B9946909FD}"/>
    <dataValidation type="decimal" operator="lessThanOrEqual" allowBlank="1" showInputMessage="1" showErrorMessage="1" errorTitle="Achtung" error="Maximal 4 Punkte sind ereichbar." sqref="E6" xr:uid="{AF901EC9-361A-4EDB-A38E-D0B1F6F89F77}">
      <formula1>3</formula1>
    </dataValidation>
  </dataValidations>
  <pageMargins left="0.70866141732283472" right="0.70866141732283472" top="0.39370078740157483" bottom="0.39370078740157483" header="0.31496062992125984" footer="0.31496062992125984"/>
  <pageSetup paperSize="9" scale="82" fitToHeight="0" orientation="landscape" r:id="rId1"/>
  <headerFooter>
    <oddFooter>&amp;L&amp;9&amp;D&amp;R&amp;"Arial,Standard"&amp;9&amp;P/&amp;N</oddFooter>
  </headerFooter>
  <rowBreaks count="1" manualBreakCount="1">
    <brk id="17"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1A4ED-7107-4FF4-AE48-B6DA0619F319}">
  <sheetPr codeName="Tabelle7"/>
  <dimension ref="A1:H39"/>
  <sheetViews>
    <sheetView workbookViewId="0">
      <selection activeCell="H11" sqref="H11"/>
    </sheetView>
  </sheetViews>
  <sheetFormatPr baseColWidth="10" defaultColWidth="11.33203125" defaultRowHeight="14.4"/>
  <cols>
    <col min="1" max="2" width="12.6640625" customWidth="1"/>
    <col min="3" max="3" width="8.6640625" customWidth="1"/>
    <col min="4" max="5" width="12.6640625" customWidth="1"/>
    <col min="6" max="6" width="8.6640625" customWidth="1"/>
    <col min="7" max="8" width="12.6640625" customWidth="1"/>
  </cols>
  <sheetData>
    <row r="1" spans="1:8" ht="29.25" customHeight="1">
      <c r="A1" s="297" t="s">
        <v>69</v>
      </c>
      <c r="B1" s="298"/>
      <c r="D1" s="297" t="s">
        <v>70</v>
      </c>
      <c r="E1" s="298"/>
      <c r="G1" s="297" t="s">
        <v>71</v>
      </c>
      <c r="H1" s="298"/>
    </row>
    <row r="2" spans="1:8">
      <c r="A2" s="72" t="s">
        <v>24</v>
      </c>
      <c r="B2" s="73" t="s">
        <v>72</v>
      </c>
      <c r="D2" s="72" t="s">
        <v>24</v>
      </c>
      <c r="E2" s="73" t="s">
        <v>72</v>
      </c>
      <c r="G2" s="72" t="s">
        <v>24</v>
      </c>
      <c r="H2" s="73" t="s">
        <v>72</v>
      </c>
    </row>
    <row r="3" spans="1:8">
      <c r="A3" s="67">
        <v>0</v>
      </c>
      <c r="B3" s="69">
        <v>1</v>
      </c>
      <c r="D3" s="67">
        <v>0</v>
      </c>
      <c r="E3" s="69">
        <v>1</v>
      </c>
      <c r="G3" s="67">
        <v>0</v>
      </c>
      <c r="H3" s="69">
        <v>1</v>
      </c>
    </row>
    <row r="4" spans="1:8">
      <c r="A4" s="67">
        <v>5</v>
      </c>
      <c r="B4" s="69">
        <v>1.5</v>
      </c>
      <c r="D4" s="67">
        <v>2</v>
      </c>
      <c r="E4" s="69">
        <v>1.5</v>
      </c>
      <c r="G4" s="67">
        <v>3</v>
      </c>
      <c r="H4" s="69">
        <v>1.5</v>
      </c>
    </row>
    <row r="5" spans="1:8">
      <c r="A5" s="67">
        <v>15</v>
      </c>
      <c r="B5" s="69">
        <v>2</v>
      </c>
      <c r="D5" s="67">
        <v>6</v>
      </c>
      <c r="E5" s="69">
        <v>2</v>
      </c>
      <c r="G5" s="67">
        <v>9</v>
      </c>
      <c r="H5" s="69">
        <v>2</v>
      </c>
    </row>
    <row r="6" spans="1:8">
      <c r="A6" s="67">
        <v>25</v>
      </c>
      <c r="B6" s="69">
        <v>2.5</v>
      </c>
      <c r="D6" s="67">
        <v>10</v>
      </c>
      <c r="E6" s="69">
        <v>2.5</v>
      </c>
      <c r="G6" s="67">
        <v>15</v>
      </c>
      <c r="H6" s="69">
        <v>2.5</v>
      </c>
    </row>
    <row r="7" spans="1:8">
      <c r="A7" s="67">
        <v>35</v>
      </c>
      <c r="B7" s="69">
        <v>3</v>
      </c>
      <c r="D7" s="67">
        <v>14</v>
      </c>
      <c r="E7" s="69">
        <v>3</v>
      </c>
      <c r="G7" s="67">
        <v>21</v>
      </c>
      <c r="H7" s="69">
        <v>3</v>
      </c>
    </row>
    <row r="8" spans="1:8">
      <c r="A8" s="67">
        <v>45</v>
      </c>
      <c r="B8" s="69">
        <v>3.5</v>
      </c>
      <c r="D8" s="67">
        <v>18</v>
      </c>
      <c r="E8" s="69">
        <v>3.5</v>
      </c>
      <c r="G8" s="67">
        <v>27</v>
      </c>
      <c r="H8" s="69">
        <v>3.5</v>
      </c>
    </row>
    <row r="9" spans="1:8">
      <c r="A9" s="67">
        <v>55</v>
      </c>
      <c r="B9" s="69">
        <v>4</v>
      </c>
      <c r="D9" s="67">
        <v>22</v>
      </c>
      <c r="E9" s="69">
        <v>4</v>
      </c>
      <c r="G9" s="67">
        <v>33</v>
      </c>
      <c r="H9" s="69">
        <v>4</v>
      </c>
    </row>
    <row r="10" spans="1:8">
      <c r="A10" s="67">
        <v>65</v>
      </c>
      <c r="B10" s="69">
        <v>4.5</v>
      </c>
      <c r="D10" s="67">
        <v>26</v>
      </c>
      <c r="E10" s="69">
        <v>4.5</v>
      </c>
      <c r="G10" s="67">
        <v>39</v>
      </c>
      <c r="H10" s="69">
        <v>4.5</v>
      </c>
    </row>
    <row r="11" spans="1:8">
      <c r="A11" s="67">
        <v>75</v>
      </c>
      <c r="B11" s="69">
        <v>5</v>
      </c>
      <c r="D11" s="67">
        <v>30</v>
      </c>
      <c r="E11" s="69">
        <v>5</v>
      </c>
      <c r="G11" s="67">
        <v>45</v>
      </c>
      <c r="H11" s="69">
        <v>5</v>
      </c>
    </row>
    <row r="12" spans="1:8">
      <c r="A12" s="67">
        <v>85</v>
      </c>
      <c r="B12" s="69">
        <v>5.5</v>
      </c>
      <c r="D12" s="67">
        <v>34</v>
      </c>
      <c r="E12" s="69">
        <v>5.5</v>
      </c>
      <c r="G12" s="67">
        <v>51</v>
      </c>
      <c r="H12" s="69">
        <v>5.5</v>
      </c>
    </row>
    <row r="13" spans="1:8" ht="15" thickBot="1">
      <c r="A13" s="68">
        <v>95</v>
      </c>
      <c r="B13" s="70">
        <v>6</v>
      </c>
      <c r="D13" s="68">
        <v>38</v>
      </c>
      <c r="E13" s="70">
        <v>6</v>
      </c>
      <c r="G13" s="68">
        <v>57</v>
      </c>
      <c r="H13" s="70">
        <v>6</v>
      </c>
    </row>
    <row r="35" spans="1:2">
      <c r="A35" t="b">
        <v>1</v>
      </c>
      <c r="B35" t="s">
        <v>1</v>
      </c>
    </row>
    <row r="36" spans="1:2">
      <c r="A36" t="b">
        <v>0</v>
      </c>
      <c r="B36" t="s">
        <v>73</v>
      </c>
    </row>
    <row r="38" spans="1:2">
      <c r="A38" t="b">
        <v>0</v>
      </c>
      <c r="B38" t="s">
        <v>74</v>
      </c>
    </row>
    <row r="39" spans="1:2">
      <c r="A39" t="b">
        <v>1</v>
      </c>
      <c r="B39" t="s">
        <v>8</v>
      </c>
    </row>
  </sheetData>
  <sortState xmlns:xlrd2="http://schemas.microsoft.com/office/spreadsheetml/2017/richdata2" ref="A3:B13">
    <sortCondition ref="A3:A13"/>
  </sortState>
  <mergeCells count="3">
    <mergeCell ref="A1:B1"/>
    <mergeCell ref="D1:E1"/>
    <mergeCell ref="G1:H1"/>
  </mergeCells>
  <pageMargins left="0.7" right="0.7" top="0.78740157499999996" bottom="0.78740157499999996"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4810986E41FD2042BF348509EED030C0" ma:contentTypeVersion="13" ma:contentTypeDescription="Ein neues Dokument erstellen." ma:contentTypeScope="" ma:versionID="290c984393ae4a1d0df0095bb9af77c3">
  <xsd:schema xmlns:xsd="http://www.w3.org/2001/XMLSchema" xmlns:xs="http://www.w3.org/2001/XMLSchema" xmlns:p="http://schemas.microsoft.com/office/2006/metadata/properties" xmlns:ns2="20a21950-4ba2-46dd-a2eb-cefd44bd4adc" xmlns:ns3="7a909ea7-d219-4f5d-964f-5a50ddb3488d" targetNamespace="http://schemas.microsoft.com/office/2006/metadata/properties" ma:root="true" ma:fieldsID="a7314db8ae57972ad93c4c784d829166" ns2:_="" ns3:_="">
    <xsd:import namespace="20a21950-4ba2-46dd-a2eb-cefd44bd4adc"/>
    <xsd:import namespace="7a909ea7-d219-4f5d-964f-5a50ddb3488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a21950-4ba2-46dd-a2eb-cefd44bd4a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39d22f72-7f00-4a5e-93bb-7489ac31d77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a909ea7-d219-4f5d-964f-5a50ddb3488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e88c1bb-bbd8-4642-bec6-85e3cfbf3d1f}" ma:internalName="TaxCatchAll" ma:showField="CatchAllData" ma:web="7a909ea7-d219-4f5d-964f-5a50ddb348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a909ea7-d219-4f5d-964f-5a50ddb3488d" xsi:nil="true"/>
    <lcf76f155ced4ddcb4097134ff3c332f xmlns="20a21950-4ba2-46dd-a2eb-cefd44bd4ad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C876B2-F897-4FE9-8C57-B470CB46AA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a21950-4ba2-46dd-a2eb-cefd44bd4adc"/>
    <ds:schemaRef ds:uri="7a909ea7-d219-4f5d-964f-5a50ddb348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C6498-079A-4ED3-B5B7-2D73C4530CDF}">
  <ds:schemaRefs>
    <ds:schemaRef ds:uri="http://schemas.microsoft.com/sharepoint/v3/contenttype/forms"/>
  </ds:schemaRefs>
</ds:datastoreItem>
</file>

<file path=customXml/itemProps3.xml><?xml version="1.0" encoding="utf-8"?>
<ds:datastoreItem xmlns:ds="http://schemas.openxmlformats.org/officeDocument/2006/customXml" ds:itemID="{4B2357C6-F050-4FA5-8E79-B4BB626ECFF4}">
  <ds:schemaRef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20a21950-4ba2-46dd-a2eb-cefd44bd4adc"/>
    <ds:schemaRef ds:uri="http://www.w3.org/XML/1998/namespace"/>
    <ds:schemaRef ds:uri="http://schemas.openxmlformats.org/package/2006/metadata/core-properties"/>
    <ds:schemaRef ds:uri="http://schemas.microsoft.com/office/2006/metadata/properties"/>
    <ds:schemaRef ds:uri="7a909ea7-d219-4f5d-964f-5a50ddb3488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16</vt:i4>
      </vt:variant>
    </vt:vector>
  </HeadingPairs>
  <TitlesOfParts>
    <vt:vector size="24" baseType="lpstr">
      <vt:lpstr>Projektvereinbarung</vt:lpstr>
      <vt:lpstr>Konzept</vt:lpstr>
      <vt:lpstr>Notenblatt</vt:lpstr>
      <vt:lpstr>Einzelarbeit</vt:lpstr>
      <vt:lpstr>Gruppenarbeit</vt:lpstr>
      <vt:lpstr>Präsentation</vt:lpstr>
      <vt:lpstr>Poster_Präsentation</vt:lpstr>
      <vt:lpstr>Notentabellen</vt:lpstr>
      <vt:lpstr>Einzelarbeit!Drucktitel</vt:lpstr>
      <vt:lpstr>Gruppenarbeit!Drucktitel</vt:lpstr>
      <vt:lpstr>Konzept!Drucktitel</vt:lpstr>
      <vt:lpstr>Notenblatt!Drucktitel</vt:lpstr>
      <vt:lpstr>Poster_Präsentation!Drucktitel</vt:lpstr>
      <vt:lpstr>Präsentation!Drucktitel</vt:lpstr>
      <vt:lpstr>Projektvereinbarung!Drucktitel</vt:lpstr>
      <vt:lpstr>Einzelarbeit!OLE_LINK1</vt:lpstr>
      <vt:lpstr>Gruppenarbeit!OLE_LINK1</vt:lpstr>
      <vt:lpstr>Notenblatt!OLE_LINK1</vt:lpstr>
      <vt:lpstr>Poster_Präsentation!OLE_LINK1</vt:lpstr>
      <vt:lpstr>Präsentation!OLE_LINK1</vt:lpstr>
      <vt:lpstr>Projektvereinbarung!OLE_LINK1</vt:lpstr>
      <vt:lpstr>Poster_Präs.</vt:lpstr>
      <vt:lpstr>Präsentation</vt:lpstr>
      <vt:lpstr>Schriftlich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Michèle Weber</dc:creator>
  <cp:keywords/>
  <dc:description/>
  <cp:lastModifiedBy>jan haag</cp:lastModifiedBy>
  <cp:revision/>
  <cp:lastPrinted>2023-05-05T04:40:26Z</cp:lastPrinted>
  <dcterms:created xsi:type="dcterms:W3CDTF">2020-09-05T08:33:06Z</dcterms:created>
  <dcterms:modified xsi:type="dcterms:W3CDTF">2023-05-10T09:46:28Z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0x0101004810986E41FD2042BF348509EED030C0</vt:lpwstr>
  </property>
</Properties>
</file>